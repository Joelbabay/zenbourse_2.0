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ocuments\ZENBOURSE 2025\SITE\"/>
    </mc:Choice>
  </mc:AlternateContent>
  <xr:revisionPtr revIDLastSave="0" documentId="13_ncr:1_{AA2245D8-0B76-42BB-8DB4-4C7019CAF32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iste 2020" sheetId="4" r:id="rId1"/>
  </sheets>
  <definedNames>
    <definedName name="_xlnm._FilterDatabase" localSheetId="0" hidden="1">'liste 2020'!#REF!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7" i="4" l="1"/>
  <c r="O137" i="4" s="1"/>
  <c r="I137" i="4"/>
  <c r="J137" i="4"/>
  <c r="L137" i="4"/>
  <c r="N251" i="4"/>
  <c r="O251" i="4" s="1"/>
  <c r="I251" i="4"/>
  <c r="J251" i="4"/>
  <c r="L251" i="4"/>
  <c r="N55" i="4"/>
  <c r="O55" i="4" s="1"/>
  <c r="I55" i="4"/>
  <c r="J55" i="4"/>
  <c r="L55" i="4"/>
  <c r="N225" i="4"/>
  <c r="O225" i="4" s="1"/>
  <c r="I225" i="4"/>
  <c r="J225" i="4"/>
  <c r="L225" i="4"/>
  <c r="N33" i="4"/>
  <c r="O33" i="4" s="1"/>
  <c r="N106" i="4"/>
  <c r="O106" i="4" s="1"/>
  <c r="N70" i="4"/>
  <c r="O70" i="4" s="1"/>
  <c r="I70" i="4"/>
  <c r="J70" i="4"/>
  <c r="L70" i="4"/>
  <c r="N169" i="4"/>
  <c r="O169" i="4" s="1"/>
  <c r="I169" i="4"/>
  <c r="J169" i="4"/>
  <c r="L169" i="4"/>
  <c r="N276" i="4"/>
  <c r="O276" i="4" s="1"/>
  <c r="I276" i="4"/>
  <c r="J276" i="4"/>
  <c r="L276" i="4"/>
  <c r="N255" i="4"/>
  <c r="O255" i="4" s="1"/>
  <c r="I255" i="4"/>
  <c r="J255" i="4"/>
  <c r="L255" i="4"/>
  <c r="N41" i="4"/>
  <c r="O41" i="4" s="1"/>
  <c r="I41" i="4"/>
  <c r="J41" i="4"/>
  <c r="L41" i="4"/>
  <c r="N253" i="4"/>
  <c r="O253" i="4" s="1"/>
  <c r="I253" i="4"/>
  <c r="J253" i="4"/>
  <c r="L253" i="4"/>
  <c r="N34" i="4"/>
  <c r="O34" i="4" s="1"/>
  <c r="I34" i="4"/>
  <c r="J34" i="4"/>
  <c r="L34" i="4"/>
  <c r="N228" i="4"/>
  <c r="O228" i="4" s="1"/>
  <c r="I228" i="4"/>
  <c r="J228" i="4"/>
  <c r="L228" i="4"/>
  <c r="N109" i="4"/>
  <c r="O109" i="4" s="1"/>
  <c r="I109" i="4"/>
  <c r="J109" i="4"/>
  <c r="L109" i="4"/>
  <c r="N40" i="4"/>
  <c r="O40" i="4" s="1"/>
  <c r="I40" i="4"/>
  <c r="J40" i="4"/>
  <c r="L40" i="4"/>
  <c r="N94" i="4"/>
  <c r="O94" i="4" s="1"/>
  <c r="I94" i="4"/>
  <c r="J94" i="4"/>
  <c r="L94" i="4"/>
  <c r="N191" i="4"/>
  <c r="O191" i="4" s="1"/>
  <c r="I191" i="4"/>
  <c r="J191" i="4"/>
  <c r="L191" i="4"/>
  <c r="N220" i="4"/>
  <c r="O220" i="4" s="1"/>
  <c r="I220" i="4"/>
  <c r="J220" i="4"/>
  <c r="L220" i="4"/>
  <c r="N209" i="4"/>
  <c r="O209" i="4" s="1"/>
  <c r="I209" i="4"/>
  <c r="J209" i="4"/>
  <c r="L209" i="4"/>
  <c r="N74" i="4"/>
  <c r="O74" i="4" s="1"/>
  <c r="J74" i="4"/>
  <c r="I74" i="4"/>
  <c r="L74" i="4"/>
  <c r="N107" i="4"/>
  <c r="O107" i="4" s="1"/>
  <c r="I107" i="4"/>
  <c r="J107" i="4"/>
  <c r="L107" i="4"/>
  <c r="N245" i="4"/>
  <c r="O245" i="4" s="1"/>
  <c r="I245" i="4"/>
  <c r="J245" i="4"/>
  <c r="L245" i="4"/>
  <c r="N269" i="4"/>
  <c r="O269" i="4" s="1"/>
  <c r="I269" i="4"/>
  <c r="J269" i="4"/>
  <c r="L269" i="4"/>
  <c r="N243" i="4"/>
  <c r="O243" i="4" s="1"/>
  <c r="I243" i="4"/>
  <c r="J243" i="4"/>
  <c r="L243" i="4"/>
  <c r="N200" i="4"/>
  <c r="O200" i="4" s="1"/>
  <c r="I200" i="4"/>
  <c r="K200" i="4" s="1"/>
  <c r="J200" i="4"/>
  <c r="L200" i="4"/>
  <c r="I33" i="4"/>
  <c r="J33" i="4"/>
  <c r="L33" i="4"/>
  <c r="N154" i="4"/>
  <c r="O154" i="4" s="1"/>
  <c r="I154" i="4"/>
  <c r="J154" i="4"/>
  <c r="L154" i="4"/>
  <c r="N32" i="4"/>
  <c r="O32" i="4" s="1"/>
  <c r="I32" i="4"/>
  <c r="J32" i="4"/>
  <c r="L32" i="4"/>
  <c r="N113" i="4"/>
  <c r="O113" i="4" s="1"/>
  <c r="I113" i="4"/>
  <c r="J113" i="4"/>
  <c r="L113" i="4"/>
  <c r="N6" i="4"/>
  <c r="O6" i="4" s="1"/>
  <c r="I6" i="4"/>
  <c r="J6" i="4"/>
  <c r="L6" i="4"/>
  <c r="N159" i="4"/>
  <c r="O159" i="4" s="1"/>
  <c r="I159" i="4"/>
  <c r="J159" i="4"/>
  <c r="L159" i="4"/>
  <c r="N210" i="4"/>
  <c r="O210" i="4" s="1"/>
  <c r="I210" i="4"/>
  <c r="J210" i="4"/>
  <c r="L210" i="4"/>
  <c r="N149" i="4"/>
  <c r="O149" i="4" s="1"/>
  <c r="I149" i="4"/>
  <c r="J149" i="4"/>
  <c r="L149" i="4"/>
  <c r="N181" i="4"/>
  <c r="O181" i="4" s="1"/>
  <c r="I181" i="4"/>
  <c r="J181" i="4"/>
  <c r="L181" i="4"/>
  <c r="N16" i="4"/>
  <c r="O16" i="4" s="1"/>
  <c r="I16" i="4"/>
  <c r="J16" i="4"/>
  <c r="L16" i="4"/>
  <c r="N86" i="4"/>
  <c r="O86" i="4" s="1"/>
  <c r="I86" i="4"/>
  <c r="J86" i="4"/>
  <c r="L86" i="4"/>
  <c r="N114" i="4"/>
  <c r="O114" i="4" s="1"/>
  <c r="I114" i="4"/>
  <c r="J114" i="4"/>
  <c r="L114" i="4"/>
  <c r="N199" i="4"/>
  <c r="O199" i="4" s="1"/>
  <c r="I199" i="4"/>
  <c r="J199" i="4"/>
  <c r="L199" i="4"/>
  <c r="N259" i="4"/>
  <c r="O259" i="4" s="1"/>
  <c r="I259" i="4"/>
  <c r="J259" i="4"/>
  <c r="L259" i="4"/>
  <c r="N244" i="4"/>
  <c r="O244" i="4" s="1"/>
  <c r="I244" i="4"/>
  <c r="J244" i="4"/>
  <c r="L244" i="4"/>
  <c r="N140" i="4"/>
  <c r="O140" i="4" s="1"/>
  <c r="I140" i="4"/>
  <c r="J140" i="4"/>
  <c r="L140" i="4"/>
  <c r="N206" i="4"/>
  <c r="O206" i="4" s="1"/>
  <c r="I206" i="4"/>
  <c r="J206" i="4"/>
  <c r="L206" i="4"/>
  <c r="N65" i="4"/>
  <c r="O65" i="4" s="1"/>
  <c r="I65" i="4"/>
  <c r="J65" i="4"/>
  <c r="L65" i="4"/>
  <c r="N103" i="4"/>
  <c r="O103" i="4" s="1"/>
  <c r="I103" i="4"/>
  <c r="J103" i="4"/>
  <c r="L103" i="4"/>
  <c r="N68" i="4"/>
  <c r="O68" i="4" s="1"/>
  <c r="I68" i="4"/>
  <c r="J68" i="4"/>
  <c r="L68" i="4"/>
  <c r="N99" i="4"/>
  <c r="O99" i="4" s="1"/>
  <c r="I99" i="4"/>
  <c r="J99" i="4"/>
  <c r="L99" i="4"/>
  <c r="N45" i="4"/>
  <c r="O45" i="4" s="1"/>
  <c r="I45" i="4"/>
  <c r="J45" i="4"/>
  <c r="L45" i="4"/>
  <c r="N9" i="4"/>
  <c r="O9" i="4" s="1"/>
  <c r="I9" i="4"/>
  <c r="J9" i="4"/>
  <c r="L9" i="4"/>
  <c r="I106" i="4"/>
  <c r="J106" i="4"/>
  <c r="L106" i="4"/>
  <c r="N180" i="4"/>
  <c r="O180" i="4" s="1"/>
  <c r="I180" i="4"/>
  <c r="J180" i="4"/>
  <c r="L180" i="4"/>
  <c r="N264" i="4"/>
  <c r="O264" i="4" s="1"/>
  <c r="I264" i="4"/>
  <c r="J264" i="4"/>
  <c r="L264" i="4"/>
  <c r="N52" i="4"/>
  <c r="O52" i="4" s="1"/>
  <c r="I52" i="4"/>
  <c r="J52" i="4"/>
  <c r="L52" i="4"/>
  <c r="N230" i="4"/>
  <c r="O230" i="4" s="1"/>
  <c r="I230" i="4"/>
  <c r="J230" i="4"/>
  <c r="L230" i="4"/>
  <c r="N198" i="4"/>
  <c r="O198" i="4" s="1"/>
  <c r="I198" i="4"/>
  <c r="J198" i="4"/>
  <c r="L198" i="4"/>
  <c r="N205" i="4"/>
  <c r="O205" i="4" s="1"/>
  <c r="I205" i="4"/>
  <c r="J205" i="4"/>
  <c r="L205" i="4"/>
  <c r="N108" i="4"/>
  <c r="O108" i="4" s="1"/>
  <c r="I108" i="4"/>
  <c r="J108" i="4"/>
  <c r="L108" i="4"/>
  <c r="N179" i="4"/>
  <c r="O179" i="4" s="1"/>
  <c r="I179" i="4"/>
  <c r="J179" i="4"/>
  <c r="L179" i="4"/>
  <c r="N38" i="4"/>
  <c r="O38" i="4" s="1"/>
  <c r="I38" i="4"/>
  <c r="J38" i="4"/>
  <c r="L38" i="4"/>
  <c r="N98" i="4"/>
  <c r="O98" i="4" s="1"/>
  <c r="I98" i="4"/>
  <c r="J98" i="4"/>
  <c r="L98" i="4"/>
  <c r="N60" i="4"/>
  <c r="O60" i="4" s="1"/>
  <c r="I60" i="4"/>
  <c r="J60" i="4"/>
  <c r="L60" i="4"/>
  <c r="N4" i="4"/>
  <c r="O4" i="4" s="1"/>
  <c r="I4" i="4"/>
  <c r="J4" i="4"/>
  <c r="L4" i="4"/>
  <c r="N72" i="4"/>
  <c r="O72" i="4" s="1"/>
  <c r="I72" i="4"/>
  <c r="J72" i="4"/>
  <c r="L72" i="4"/>
  <c r="N80" i="4"/>
  <c r="O80" i="4" s="1"/>
  <c r="I80" i="4"/>
  <c r="J80" i="4"/>
  <c r="L80" i="4"/>
  <c r="N134" i="4"/>
  <c r="O134" i="4" s="1"/>
  <c r="I134" i="4"/>
  <c r="J134" i="4"/>
  <c r="L134" i="4"/>
  <c r="N64" i="4"/>
  <c r="O64" i="4" s="1"/>
  <c r="I64" i="4"/>
  <c r="J64" i="4"/>
  <c r="L64" i="4"/>
  <c r="N158" i="4"/>
  <c r="O158" i="4" s="1"/>
  <c r="I158" i="4"/>
  <c r="J158" i="4"/>
  <c r="L158" i="4"/>
  <c r="N148" i="4"/>
  <c r="O148" i="4" s="1"/>
  <c r="I148" i="4"/>
  <c r="J148" i="4"/>
  <c r="L148" i="4"/>
  <c r="N67" i="4"/>
  <c r="O67" i="4" s="1"/>
  <c r="I67" i="4"/>
  <c r="J67" i="4"/>
  <c r="L67" i="4"/>
  <c r="N91" i="4"/>
  <c r="O91" i="4" s="1"/>
  <c r="I91" i="4"/>
  <c r="J91" i="4"/>
  <c r="L91" i="4"/>
  <c r="N79" i="4"/>
  <c r="O79" i="4" s="1"/>
  <c r="I79" i="4"/>
  <c r="J79" i="4"/>
  <c r="L79" i="4"/>
  <c r="N212" i="4"/>
  <c r="O212" i="4" s="1"/>
  <c r="I212" i="4"/>
  <c r="J212" i="4"/>
  <c r="L212" i="4"/>
  <c r="N197" i="4"/>
  <c r="O197" i="4" s="1"/>
  <c r="I197" i="4"/>
  <c r="J197" i="4"/>
  <c r="L197" i="4"/>
  <c r="N263" i="4"/>
  <c r="O263" i="4" s="1"/>
  <c r="I263" i="4"/>
  <c r="J263" i="4"/>
  <c r="L263" i="4"/>
  <c r="N196" i="4"/>
  <c r="O196" i="4" s="1"/>
  <c r="I196" i="4"/>
  <c r="J196" i="4"/>
  <c r="L196" i="4"/>
  <c r="N258" i="4"/>
  <c r="O258" i="4" s="1"/>
  <c r="I258" i="4"/>
  <c r="J258" i="4"/>
  <c r="L258" i="4"/>
  <c r="N51" i="4"/>
  <c r="O51" i="4" s="1"/>
  <c r="I51" i="4"/>
  <c r="J51" i="4"/>
  <c r="L51" i="4"/>
  <c r="N222" i="4"/>
  <c r="O222" i="4" s="1"/>
  <c r="I222" i="4"/>
  <c r="J222" i="4"/>
  <c r="L222" i="4"/>
  <c r="N111" i="4"/>
  <c r="O111" i="4" s="1"/>
  <c r="I111" i="4"/>
  <c r="J111" i="4"/>
  <c r="L111" i="4"/>
  <c r="N168" i="4"/>
  <c r="O168" i="4" s="1"/>
  <c r="I168" i="4"/>
  <c r="J168" i="4"/>
  <c r="L168" i="4"/>
  <c r="N58" i="4"/>
  <c r="O58" i="4" s="1"/>
  <c r="I58" i="4"/>
  <c r="J58" i="4"/>
  <c r="L58" i="4"/>
  <c r="N104" i="4"/>
  <c r="O104" i="4" s="1"/>
  <c r="I104" i="4"/>
  <c r="J104" i="4"/>
  <c r="L104" i="4"/>
  <c r="N15" i="4"/>
  <c r="O15" i="4" s="1"/>
  <c r="I15" i="4"/>
  <c r="J15" i="4"/>
  <c r="L15" i="4"/>
  <c r="N157" i="4"/>
  <c r="O157" i="4" s="1"/>
  <c r="I157" i="4"/>
  <c r="J157" i="4"/>
  <c r="L157" i="4"/>
  <c r="N120" i="4"/>
  <c r="O120" i="4" s="1"/>
  <c r="I120" i="4"/>
  <c r="J120" i="4"/>
  <c r="L120" i="4"/>
  <c r="N167" i="4"/>
  <c r="O167" i="4" s="1"/>
  <c r="I167" i="4"/>
  <c r="J167" i="4"/>
  <c r="L167" i="4"/>
  <c r="N221" i="4"/>
  <c r="O221" i="4" s="1"/>
  <c r="I221" i="4"/>
  <c r="J221" i="4"/>
  <c r="L221" i="4"/>
  <c r="N156" i="4"/>
  <c r="O156" i="4" s="1"/>
  <c r="I156" i="4"/>
  <c r="J156" i="4"/>
  <c r="L156" i="4"/>
  <c r="N195" i="4"/>
  <c r="O195" i="4" s="1"/>
  <c r="I195" i="4"/>
  <c r="J195" i="4"/>
  <c r="L195" i="4"/>
  <c r="N129" i="4"/>
  <c r="O129" i="4" s="1"/>
  <c r="I129" i="4"/>
  <c r="J129" i="4"/>
  <c r="L129" i="4"/>
  <c r="N132" i="4"/>
  <c r="O132" i="4" s="1"/>
  <c r="I132" i="4"/>
  <c r="J132" i="4"/>
  <c r="L132" i="4"/>
  <c r="N194" i="4"/>
  <c r="O194" i="4" s="1"/>
  <c r="I194" i="4"/>
  <c r="J194" i="4"/>
  <c r="L194" i="4"/>
  <c r="N143" i="4"/>
  <c r="O143" i="4" s="1"/>
  <c r="I143" i="4"/>
  <c r="J143" i="4"/>
  <c r="L143" i="4"/>
  <c r="N270" i="4"/>
  <c r="O270" i="4" s="1"/>
  <c r="I270" i="4"/>
  <c r="J270" i="4"/>
  <c r="L270" i="4"/>
  <c r="N95" i="4"/>
  <c r="O95" i="4" s="1"/>
  <c r="I95" i="4"/>
  <c r="J95" i="4"/>
  <c r="L95" i="4"/>
  <c r="N85" i="4"/>
  <c r="O85" i="4" s="1"/>
  <c r="I85" i="4"/>
  <c r="J85" i="4"/>
  <c r="L85" i="4"/>
  <c r="N233" i="4"/>
  <c r="O233" i="4" s="1"/>
  <c r="I233" i="4"/>
  <c r="J233" i="4"/>
  <c r="L233" i="4"/>
  <c r="N236" i="4"/>
  <c r="O236" i="4" s="1"/>
  <c r="I236" i="4"/>
  <c r="J236" i="4"/>
  <c r="L236" i="4"/>
  <c r="N44" i="4"/>
  <c r="O44" i="4" s="1"/>
  <c r="I44" i="4"/>
  <c r="J44" i="4"/>
  <c r="L44" i="4"/>
  <c r="N18" i="4"/>
  <c r="O18" i="4" s="1"/>
  <c r="I18" i="4"/>
  <c r="J18" i="4"/>
  <c r="L18" i="4"/>
  <c r="N202" i="4"/>
  <c r="O202" i="4" s="1"/>
  <c r="I202" i="4"/>
  <c r="J202" i="4"/>
  <c r="L202" i="4"/>
  <c r="N97" i="4"/>
  <c r="O97" i="4" s="1"/>
  <c r="I97" i="4"/>
  <c r="J97" i="4"/>
  <c r="L97" i="4"/>
  <c r="N235" i="4"/>
  <c r="O235" i="4" s="1"/>
  <c r="I235" i="4"/>
  <c r="J235" i="4"/>
  <c r="L235" i="4"/>
  <c r="N193" i="4"/>
  <c r="O193" i="4" s="1"/>
  <c r="I193" i="4"/>
  <c r="J193" i="4"/>
  <c r="L193" i="4"/>
  <c r="N166" i="4"/>
  <c r="O166" i="4" s="1"/>
  <c r="I166" i="4"/>
  <c r="J166" i="4"/>
  <c r="L166" i="4"/>
  <c r="N192" i="4"/>
  <c r="O192" i="4" s="1"/>
  <c r="I192" i="4"/>
  <c r="J192" i="4"/>
  <c r="L192" i="4"/>
  <c r="N135" i="4"/>
  <c r="O135" i="4" s="1"/>
  <c r="I135" i="4"/>
  <c r="J135" i="4"/>
  <c r="L135" i="4"/>
  <c r="N165" i="4"/>
  <c r="O165" i="4" s="1"/>
  <c r="I165" i="4"/>
  <c r="J165" i="4"/>
  <c r="L165" i="4"/>
  <c r="N8" i="4"/>
  <c r="O8" i="4" s="1"/>
  <c r="I8" i="4"/>
  <c r="J8" i="4"/>
  <c r="L8" i="4"/>
  <c r="N5" i="4"/>
  <c r="O5" i="4" s="1"/>
  <c r="I5" i="4"/>
  <c r="J5" i="4"/>
  <c r="L5" i="4"/>
  <c r="N161" i="4"/>
  <c r="O161" i="4" s="1"/>
  <c r="I161" i="4"/>
  <c r="J161" i="4"/>
  <c r="L161" i="4"/>
  <c r="N204" i="4"/>
  <c r="O204" i="4" s="1"/>
  <c r="I204" i="4"/>
  <c r="J204" i="4"/>
  <c r="L204" i="4"/>
  <c r="N25" i="4"/>
  <c r="O25" i="4" s="1"/>
  <c r="I25" i="4"/>
  <c r="J25" i="4"/>
  <c r="L25" i="4"/>
  <c r="N62" i="4"/>
  <c r="O62" i="4" s="1"/>
  <c r="I62" i="4"/>
  <c r="J62" i="4"/>
  <c r="L62" i="4"/>
  <c r="N93" i="4"/>
  <c r="O93" i="4" s="1"/>
  <c r="I93" i="4"/>
  <c r="J93" i="4"/>
  <c r="L93" i="4"/>
  <c r="N124" i="4"/>
  <c r="O124" i="4" s="1"/>
  <c r="I124" i="4"/>
  <c r="J124" i="4"/>
  <c r="L124" i="4"/>
  <c r="N76" i="4"/>
  <c r="O76" i="4" s="1"/>
  <c r="N184" i="4"/>
  <c r="O184" i="4" s="1"/>
  <c r="I76" i="4"/>
  <c r="J76" i="4"/>
  <c r="L76" i="4"/>
  <c r="I184" i="4"/>
  <c r="J184" i="4"/>
  <c r="L184" i="4"/>
  <c r="N227" i="4"/>
  <c r="O227" i="4" s="1"/>
  <c r="I227" i="4"/>
  <c r="J227" i="4"/>
  <c r="L227" i="4"/>
  <c r="N218" i="4"/>
  <c r="O218" i="4" s="1"/>
  <c r="I218" i="4"/>
  <c r="J218" i="4"/>
  <c r="L218" i="4"/>
  <c r="N277" i="4"/>
  <c r="I277" i="4"/>
  <c r="J277" i="4"/>
  <c r="L277" i="4"/>
  <c r="N178" i="4"/>
  <c r="O178" i="4" s="1"/>
  <c r="I178" i="4"/>
  <c r="J178" i="4"/>
  <c r="L178" i="4"/>
  <c r="N237" i="4"/>
  <c r="O237" i="4" s="1"/>
  <c r="I237" i="4"/>
  <c r="J237" i="4"/>
  <c r="L237" i="4"/>
  <c r="N14" i="4"/>
  <c r="O14" i="4" s="1"/>
  <c r="I14" i="4"/>
  <c r="J14" i="4"/>
  <c r="L14" i="4"/>
  <c r="N27" i="4"/>
  <c r="O27" i="4" s="1"/>
  <c r="I27" i="4"/>
  <c r="J27" i="4"/>
  <c r="L27" i="4"/>
  <c r="N252" i="4"/>
  <c r="O252" i="4" s="1"/>
  <c r="I252" i="4"/>
  <c r="J252" i="4"/>
  <c r="L252" i="4"/>
  <c r="N164" i="4"/>
  <c r="O164" i="4" s="1"/>
  <c r="I164" i="4"/>
  <c r="J164" i="4"/>
  <c r="L164" i="4"/>
  <c r="N87" i="4"/>
  <c r="O87" i="4" s="1"/>
  <c r="I87" i="4"/>
  <c r="J87" i="4"/>
  <c r="L87" i="4"/>
  <c r="N11" i="4"/>
  <c r="O11" i="4" s="1"/>
  <c r="I11" i="4"/>
  <c r="J11" i="4"/>
  <c r="L11" i="4"/>
  <c r="N90" i="4"/>
  <c r="O90" i="4" s="1"/>
  <c r="I90" i="4"/>
  <c r="J90" i="4"/>
  <c r="L90" i="4"/>
  <c r="N177" i="4"/>
  <c r="O177" i="4" s="1"/>
  <c r="I177" i="4"/>
  <c r="J177" i="4"/>
  <c r="L177" i="4"/>
  <c r="N82" i="4"/>
  <c r="O82" i="4" s="1"/>
  <c r="I82" i="4"/>
  <c r="J82" i="4"/>
  <c r="L82" i="4"/>
  <c r="N117" i="4"/>
  <c r="O117" i="4" s="1"/>
  <c r="I117" i="4"/>
  <c r="J117" i="4"/>
  <c r="L117" i="4"/>
  <c r="N238" i="4"/>
  <c r="O238" i="4" s="1"/>
  <c r="I238" i="4"/>
  <c r="J238" i="4"/>
  <c r="L238" i="4"/>
  <c r="N275" i="4"/>
  <c r="O275" i="4" s="1"/>
  <c r="I275" i="4"/>
  <c r="J275" i="4"/>
  <c r="L275" i="4"/>
  <c r="N73" i="4"/>
  <c r="O73" i="4" s="1"/>
  <c r="I73" i="4"/>
  <c r="J73" i="4"/>
  <c r="L73" i="4"/>
  <c r="N155" i="4"/>
  <c r="O155" i="4" s="1"/>
  <c r="I155" i="4"/>
  <c r="J155" i="4"/>
  <c r="L155" i="4"/>
  <c r="N176" i="4"/>
  <c r="O176" i="4" s="1"/>
  <c r="I176" i="4"/>
  <c r="J176" i="4"/>
  <c r="L176" i="4"/>
  <c r="N190" i="4"/>
  <c r="O190" i="4" s="1"/>
  <c r="I190" i="4"/>
  <c r="J190" i="4"/>
  <c r="L190" i="4"/>
  <c r="N110" i="4"/>
  <c r="O110" i="4" s="1"/>
  <c r="I110" i="4"/>
  <c r="J110" i="4"/>
  <c r="L110" i="4"/>
  <c r="N24" i="4"/>
  <c r="O24" i="4" s="1"/>
  <c r="I24" i="4"/>
  <c r="J24" i="4"/>
  <c r="L24" i="4"/>
  <c r="N201" i="4"/>
  <c r="O201" i="4" s="1"/>
  <c r="I201" i="4"/>
  <c r="J201" i="4"/>
  <c r="L201" i="4"/>
  <c r="N175" i="4"/>
  <c r="O175" i="4" s="1"/>
  <c r="I175" i="4"/>
  <c r="J175" i="4"/>
  <c r="L175" i="4"/>
  <c r="N138" i="4"/>
  <c r="O138" i="4" s="1"/>
  <c r="I138" i="4"/>
  <c r="J138" i="4"/>
  <c r="L138" i="4"/>
  <c r="N30" i="4"/>
  <c r="O30" i="4" s="1"/>
  <c r="I30" i="4"/>
  <c r="J30" i="4"/>
  <c r="L30" i="4"/>
  <c r="N223" i="4"/>
  <c r="O223" i="4" s="1"/>
  <c r="I223" i="4"/>
  <c r="J223" i="4"/>
  <c r="L223" i="4"/>
  <c r="N119" i="4"/>
  <c r="O119" i="4" s="1"/>
  <c r="I119" i="4"/>
  <c r="J119" i="4"/>
  <c r="L119" i="4"/>
  <c r="N174" i="4"/>
  <c r="O174" i="4" s="1"/>
  <c r="I174" i="4"/>
  <c r="J174" i="4"/>
  <c r="L174" i="4"/>
  <c r="N78" i="4"/>
  <c r="O78" i="4" s="1"/>
  <c r="I78" i="4"/>
  <c r="J78" i="4"/>
  <c r="L78" i="4"/>
  <c r="N163" i="4"/>
  <c r="O163" i="4" s="1"/>
  <c r="I163" i="4"/>
  <c r="J163" i="4"/>
  <c r="L163" i="4"/>
  <c r="N81" i="4"/>
  <c r="O81" i="4" s="1"/>
  <c r="I81" i="4"/>
  <c r="J81" i="4"/>
  <c r="L81" i="4"/>
  <c r="N127" i="4"/>
  <c r="O127" i="4" s="1"/>
  <c r="I127" i="4"/>
  <c r="J127" i="4"/>
  <c r="L127" i="4"/>
  <c r="N211" i="4"/>
  <c r="O211" i="4" s="1"/>
  <c r="I211" i="4"/>
  <c r="J211" i="4"/>
  <c r="L211" i="4"/>
  <c r="N23" i="4"/>
  <c r="O23" i="4" s="1"/>
  <c r="I23" i="4"/>
  <c r="J23" i="4"/>
  <c r="L23" i="4"/>
  <c r="N139" i="4"/>
  <c r="O139" i="4" s="1"/>
  <c r="I139" i="4"/>
  <c r="J139" i="4"/>
  <c r="L139" i="4"/>
  <c r="N219" i="4"/>
  <c r="O219" i="4" s="1"/>
  <c r="I219" i="4"/>
  <c r="J219" i="4"/>
  <c r="L219" i="4"/>
  <c r="N121" i="4"/>
  <c r="O121" i="4" s="1"/>
  <c r="I121" i="4"/>
  <c r="J121" i="4"/>
  <c r="L121" i="4"/>
  <c r="N273" i="4"/>
  <c r="O273" i="4" s="1"/>
  <c r="I273" i="4"/>
  <c r="J273" i="4"/>
  <c r="L273" i="4"/>
  <c r="N26" i="4"/>
  <c r="O26" i="4" s="1"/>
  <c r="I26" i="4"/>
  <c r="J26" i="4"/>
  <c r="L26" i="4"/>
  <c r="N147" i="4"/>
  <c r="O147" i="4" s="1"/>
  <c r="I147" i="4"/>
  <c r="J147" i="4"/>
  <c r="L147" i="4"/>
  <c r="N133" i="4"/>
  <c r="O133" i="4" s="1"/>
  <c r="I133" i="4"/>
  <c r="J133" i="4"/>
  <c r="L133" i="4"/>
  <c r="N57" i="4"/>
  <c r="O57" i="4" s="1"/>
  <c r="I57" i="4"/>
  <c r="J57" i="4"/>
  <c r="L57" i="4"/>
  <c r="N101" i="4"/>
  <c r="O101" i="4" s="1"/>
  <c r="I101" i="4"/>
  <c r="J101" i="4"/>
  <c r="L101" i="4"/>
  <c r="N22" i="4"/>
  <c r="O22" i="4" s="1"/>
  <c r="I22" i="4"/>
  <c r="J22" i="4"/>
  <c r="L22" i="4"/>
  <c r="N249" i="4"/>
  <c r="O249" i="4" s="1"/>
  <c r="I249" i="4"/>
  <c r="J249" i="4"/>
  <c r="L249" i="4"/>
  <c r="N203" i="4"/>
  <c r="O203" i="4" s="1"/>
  <c r="I203" i="4"/>
  <c r="J203" i="4"/>
  <c r="L203" i="4"/>
  <c r="N31" i="4"/>
  <c r="O31" i="4" s="1"/>
  <c r="I31" i="4"/>
  <c r="J31" i="4"/>
  <c r="L31" i="4"/>
  <c r="N37" i="4"/>
  <c r="O37" i="4" s="1"/>
  <c r="I37" i="4"/>
  <c r="J37" i="4"/>
  <c r="L37" i="4"/>
  <c r="N47" i="4"/>
  <c r="O47" i="4" s="1"/>
  <c r="I47" i="4"/>
  <c r="J47" i="4"/>
  <c r="L47" i="4"/>
  <c r="N261" i="4"/>
  <c r="O261" i="4" s="1"/>
  <c r="I261" i="4"/>
  <c r="J261" i="4"/>
  <c r="L261" i="4"/>
  <c r="N56" i="4"/>
  <c r="O56" i="4" s="1"/>
  <c r="I56" i="4"/>
  <c r="J56" i="4"/>
  <c r="L56" i="4"/>
  <c r="N43" i="4"/>
  <c r="O43" i="4" s="1"/>
  <c r="I43" i="4"/>
  <c r="J43" i="4"/>
  <c r="L43" i="4"/>
  <c r="N272" i="4"/>
  <c r="O272" i="4" s="1"/>
  <c r="I272" i="4"/>
  <c r="J272" i="4"/>
  <c r="L272" i="4"/>
  <c r="N274" i="4"/>
  <c r="O274" i="4" s="1"/>
  <c r="I274" i="4"/>
  <c r="J274" i="4"/>
  <c r="L274" i="4"/>
  <c r="N92" i="4"/>
  <c r="O92" i="4" s="1"/>
  <c r="I92" i="4"/>
  <c r="J92" i="4"/>
  <c r="L92" i="4"/>
  <c r="N66" i="4"/>
  <c r="O66" i="4" s="1"/>
  <c r="I66" i="4"/>
  <c r="J66" i="4"/>
  <c r="L66" i="4"/>
  <c r="N248" i="4"/>
  <c r="O248" i="4" s="1"/>
  <c r="I248" i="4"/>
  <c r="J248" i="4"/>
  <c r="L248" i="4"/>
  <c r="N36" i="4"/>
  <c r="O36" i="4" s="1"/>
  <c r="I36" i="4"/>
  <c r="J36" i="4"/>
  <c r="L36" i="4"/>
  <c r="N50" i="4"/>
  <c r="O50" i="4" s="1"/>
  <c r="I50" i="4"/>
  <c r="J50" i="4"/>
  <c r="L50" i="4"/>
  <c r="N268" i="4"/>
  <c r="O268" i="4" s="1"/>
  <c r="I268" i="4"/>
  <c r="J268" i="4"/>
  <c r="L268" i="4"/>
  <c r="N146" i="4"/>
  <c r="O146" i="4" s="1"/>
  <c r="I146" i="4"/>
  <c r="J146" i="4"/>
  <c r="L146" i="4"/>
  <c r="N46" i="4"/>
  <c r="O46" i="4" s="1"/>
  <c r="I46" i="4"/>
  <c r="J46" i="4"/>
  <c r="L46" i="4"/>
  <c r="N229" i="4"/>
  <c r="O229" i="4" s="1"/>
  <c r="I229" i="4"/>
  <c r="J229" i="4"/>
  <c r="L229" i="4"/>
  <c r="N61" i="4"/>
  <c r="O61" i="4" s="1"/>
  <c r="I61" i="4"/>
  <c r="J61" i="4"/>
  <c r="L61" i="4"/>
  <c r="N226" i="4"/>
  <c r="O226" i="4" s="1"/>
  <c r="I226" i="4"/>
  <c r="J226" i="4"/>
  <c r="L226" i="4"/>
  <c r="N17" i="4"/>
  <c r="O17" i="4" s="1"/>
  <c r="I17" i="4"/>
  <c r="J17" i="4"/>
  <c r="L17" i="4"/>
  <c r="N13" i="4"/>
  <c r="O13" i="4" s="1"/>
  <c r="I13" i="4"/>
  <c r="J13" i="4"/>
  <c r="L13" i="4"/>
  <c r="N208" i="4"/>
  <c r="O208" i="4" s="1"/>
  <c r="I208" i="4"/>
  <c r="J208" i="4"/>
  <c r="L208" i="4"/>
  <c r="N77" i="4"/>
  <c r="O77" i="4" s="1"/>
  <c r="I77" i="4"/>
  <c r="J77" i="4"/>
  <c r="L77" i="4"/>
  <c r="N217" i="4"/>
  <c r="O217" i="4" s="1"/>
  <c r="I217" i="4"/>
  <c r="J217" i="4"/>
  <c r="L217" i="4"/>
  <c r="N241" i="4"/>
  <c r="O241" i="4" s="1"/>
  <c r="J241" i="4"/>
  <c r="I241" i="4"/>
  <c r="L241" i="4"/>
  <c r="N216" i="4"/>
  <c r="O216" i="4" s="1"/>
  <c r="I216" i="4"/>
  <c r="J216" i="4"/>
  <c r="L216" i="4"/>
  <c r="N231" i="4"/>
  <c r="O231" i="4" s="1"/>
  <c r="I231" i="4"/>
  <c r="J231" i="4"/>
  <c r="L231" i="4"/>
  <c r="N189" i="4"/>
  <c r="O189" i="4" s="1"/>
  <c r="I189" i="4"/>
  <c r="J189" i="4"/>
  <c r="L189" i="4"/>
  <c r="N89" i="4"/>
  <c r="O89" i="4" s="1"/>
  <c r="J89" i="4"/>
  <c r="I89" i="4"/>
  <c r="L89" i="4"/>
  <c r="N265" i="4"/>
  <c r="O265" i="4" s="1"/>
  <c r="I265" i="4"/>
  <c r="J265" i="4"/>
  <c r="L265" i="4"/>
  <c r="N75" i="4"/>
  <c r="O75" i="4" s="1"/>
  <c r="I75" i="4"/>
  <c r="J75" i="4"/>
  <c r="L75" i="4"/>
  <c r="N214" i="4"/>
  <c r="O214" i="4" s="1"/>
  <c r="I214" i="4"/>
  <c r="J214" i="4"/>
  <c r="L214" i="4"/>
  <c r="N188" i="4"/>
  <c r="O188" i="4" s="1"/>
  <c r="I188" i="4"/>
  <c r="J188" i="4"/>
  <c r="L188" i="4"/>
  <c r="N105" i="4"/>
  <c r="O105" i="4" s="1"/>
  <c r="I105" i="4"/>
  <c r="J105" i="4"/>
  <c r="L105" i="4"/>
  <c r="N123" i="4"/>
  <c r="O123" i="4" s="1"/>
  <c r="I123" i="4"/>
  <c r="J123" i="4"/>
  <c r="L123" i="4"/>
  <c r="N160" i="4"/>
  <c r="O160" i="4" s="1"/>
  <c r="I160" i="4"/>
  <c r="J160" i="4"/>
  <c r="L160" i="4"/>
  <c r="N128" i="4"/>
  <c r="O128" i="4" s="1"/>
  <c r="I128" i="4"/>
  <c r="J128" i="4"/>
  <c r="L128" i="4"/>
  <c r="N29" i="4"/>
  <c r="O29" i="4" s="1"/>
  <c r="I29" i="4"/>
  <c r="J29" i="4"/>
  <c r="L29" i="4"/>
  <c r="N126" i="4"/>
  <c r="O126" i="4" s="1"/>
  <c r="I126" i="4"/>
  <c r="J126" i="4"/>
  <c r="L126" i="4"/>
  <c r="N247" i="4"/>
  <c r="O247" i="4" s="1"/>
  <c r="I247" i="4"/>
  <c r="J247" i="4"/>
  <c r="L247" i="4"/>
  <c r="N232" i="4"/>
  <c r="O232" i="4" s="1"/>
  <c r="I232" i="4"/>
  <c r="J232" i="4"/>
  <c r="L232" i="4"/>
  <c r="N83" i="4"/>
  <c r="O83" i="4" s="1"/>
  <c r="N207" i="4"/>
  <c r="O207" i="4" s="1"/>
  <c r="I83" i="4"/>
  <c r="J83" i="4"/>
  <c r="L83" i="4"/>
  <c r="I207" i="4"/>
  <c r="J207" i="4"/>
  <c r="L207" i="4"/>
  <c r="N112" i="4"/>
  <c r="O112" i="4" s="1"/>
  <c r="I112" i="4"/>
  <c r="J112" i="4"/>
  <c r="L112" i="4"/>
  <c r="N246" i="4"/>
  <c r="O246" i="4" s="1"/>
  <c r="I246" i="4"/>
  <c r="J246" i="4"/>
  <c r="L246" i="4"/>
  <c r="N116" i="4"/>
  <c r="O116" i="4" s="1"/>
  <c r="I116" i="4"/>
  <c r="J116" i="4"/>
  <c r="L116" i="4"/>
  <c r="N142" i="4"/>
  <c r="O142" i="4" s="1"/>
  <c r="I142" i="4"/>
  <c r="J142" i="4"/>
  <c r="L142" i="4"/>
  <c r="N115" i="4"/>
  <c r="O115" i="4" s="1"/>
  <c r="I115" i="4"/>
  <c r="J115" i="4"/>
  <c r="L115" i="4"/>
  <c r="N88" i="4"/>
  <c r="O88" i="4" s="1"/>
  <c r="L88" i="4"/>
  <c r="I88" i="4"/>
  <c r="J88" i="4"/>
  <c r="N7" i="4"/>
  <c r="O7" i="4" s="1"/>
  <c r="I7" i="4"/>
  <c r="J7" i="4"/>
  <c r="L7" i="4"/>
  <c r="N20" i="4"/>
  <c r="O20" i="4" s="1"/>
  <c r="I20" i="4"/>
  <c r="J20" i="4"/>
  <c r="L20" i="4"/>
  <c r="N136" i="4"/>
  <c r="O136" i="4" s="1"/>
  <c r="I136" i="4"/>
  <c r="J136" i="4"/>
  <c r="L136" i="4"/>
  <c r="N234" i="4"/>
  <c r="O234" i="4" s="1"/>
  <c r="I234" i="4"/>
  <c r="J234" i="4"/>
  <c r="L234" i="4"/>
  <c r="N100" i="4"/>
  <c r="O100" i="4" s="1"/>
  <c r="I100" i="4"/>
  <c r="J100" i="4"/>
  <c r="L100" i="4"/>
  <c r="N183" i="4"/>
  <c r="O183" i="4" s="1"/>
  <c r="I183" i="4"/>
  <c r="J183" i="4"/>
  <c r="L183" i="4"/>
  <c r="N118" i="4"/>
  <c r="O118" i="4" s="1"/>
  <c r="I118" i="4"/>
  <c r="J118" i="4"/>
  <c r="L118" i="4"/>
  <c r="N48" i="4"/>
  <c r="O48" i="4" s="1"/>
  <c r="I48" i="4"/>
  <c r="J48" i="4"/>
  <c r="L48" i="4"/>
  <c r="N35" i="4"/>
  <c r="O35" i="4" s="1"/>
  <c r="I35" i="4"/>
  <c r="J35" i="4"/>
  <c r="L35" i="4"/>
  <c r="N69" i="4"/>
  <c r="O69" i="4" s="1"/>
  <c r="I69" i="4"/>
  <c r="J69" i="4"/>
  <c r="L69" i="4"/>
  <c r="N125" i="4"/>
  <c r="O125" i="4" s="1"/>
  <c r="I125" i="4"/>
  <c r="J125" i="4"/>
  <c r="L125" i="4"/>
  <c r="N53" i="4"/>
  <c r="O53" i="4" s="1"/>
  <c r="I53" i="4"/>
  <c r="J53" i="4"/>
  <c r="L53" i="4"/>
  <c r="N21" i="4"/>
  <c r="O21" i="4" s="1"/>
  <c r="I21" i="4"/>
  <c r="J21" i="4"/>
  <c r="L21" i="4"/>
  <c r="N173" i="4"/>
  <c r="O173" i="4" s="1"/>
  <c r="I173" i="4"/>
  <c r="J173" i="4"/>
  <c r="L173" i="4"/>
  <c r="N96" i="4"/>
  <c r="O96" i="4" s="1"/>
  <c r="I96" i="4"/>
  <c r="J96" i="4"/>
  <c r="L96" i="4"/>
  <c r="N102" i="4"/>
  <c r="O102" i="4" s="1"/>
  <c r="L102" i="4"/>
  <c r="I102" i="4"/>
  <c r="J102" i="4"/>
  <c r="N28" i="4"/>
  <c r="O28" i="4" s="1"/>
  <c r="I28" i="4"/>
  <c r="J28" i="4"/>
  <c r="L28" i="4"/>
  <c r="N131" i="4"/>
  <c r="O131" i="4" s="1"/>
  <c r="I131" i="4"/>
  <c r="J131" i="4"/>
  <c r="L131" i="4"/>
  <c r="N213" i="4"/>
  <c r="O213" i="4" s="1"/>
  <c r="I213" i="4"/>
  <c r="J213" i="4"/>
  <c r="L213" i="4"/>
  <c r="N260" i="4"/>
  <c r="O260" i="4" s="1"/>
  <c r="I260" i="4"/>
  <c r="J260" i="4"/>
  <c r="L260" i="4"/>
  <c r="N153" i="4"/>
  <c r="O153" i="4" s="1"/>
  <c r="I153" i="4"/>
  <c r="J153" i="4"/>
  <c r="L153" i="4"/>
  <c r="N59" i="4"/>
  <c r="O59" i="4" s="1"/>
  <c r="I59" i="4"/>
  <c r="J59" i="4"/>
  <c r="L59" i="4"/>
  <c r="N254" i="4"/>
  <c r="O254" i="4" s="1"/>
  <c r="I254" i="4"/>
  <c r="J254" i="4"/>
  <c r="L254" i="4"/>
  <c r="N267" i="4"/>
  <c r="O267" i="4" s="1"/>
  <c r="I267" i="4"/>
  <c r="J267" i="4"/>
  <c r="L267" i="4"/>
  <c r="N63" i="4"/>
  <c r="O63" i="4" s="1"/>
  <c r="I63" i="4"/>
  <c r="J63" i="4"/>
  <c r="L63" i="4"/>
  <c r="N172" i="4"/>
  <c r="O172" i="4" s="1"/>
  <c r="J172" i="4"/>
  <c r="I172" i="4"/>
  <c r="L172" i="4"/>
  <c r="N71" i="4"/>
  <c r="O71" i="4" s="1"/>
  <c r="I71" i="4"/>
  <c r="J71" i="4"/>
  <c r="L71" i="4"/>
  <c r="N84" i="4"/>
  <c r="O84" i="4" s="1"/>
  <c r="I84" i="4"/>
  <c r="J84" i="4"/>
  <c r="L84" i="4"/>
  <c r="N42" i="4"/>
  <c r="O42" i="4" s="1"/>
  <c r="I42" i="4"/>
  <c r="J42" i="4"/>
  <c r="L42" i="4"/>
  <c r="N187" i="4"/>
  <c r="O187" i="4" s="1"/>
  <c r="I187" i="4"/>
  <c r="J187" i="4"/>
  <c r="L187" i="4"/>
  <c r="N224" i="4"/>
  <c r="O224" i="4" s="1"/>
  <c r="I224" i="4"/>
  <c r="J224" i="4"/>
  <c r="L224" i="4"/>
  <c r="N162" i="4"/>
  <c r="O162" i="4" s="1"/>
  <c r="N12" i="4"/>
  <c r="O12" i="4" s="1"/>
  <c r="N240" i="4"/>
  <c r="O240" i="4" s="1"/>
  <c r="N239" i="4"/>
  <c r="O239" i="4" s="1"/>
  <c r="N152" i="4"/>
  <c r="O152" i="4" s="1"/>
  <c r="N145" i="4"/>
  <c r="O145" i="4" s="1"/>
  <c r="N141" i="4"/>
  <c r="O141" i="4" s="1"/>
  <c r="N262" i="4"/>
  <c r="O262" i="4" s="1"/>
  <c r="N257" i="4"/>
  <c r="O257" i="4" s="1"/>
  <c r="N49" i="4"/>
  <c r="O49" i="4" s="1"/>
  <c r="N39" i="4"/>
  <c r="O39" i="4" s="1"/>
  <c r="N144" i="4"/>
  <c r="O144" i="4" s="1"/>
  <c r="N151" i="4"/>
  <c r="O151" i="4" s="1"/>
  <c r="N150" i="4"/>
  <c r="O150" i="4" s="1"/>
  <c r="N182" i="4"/>
  <c r="O182" i="4" s="1"/>
  <c r="N186" i="4"/>
  <c r="O186" i="4" s="1"/>
  <c r="N266" i="4"/>
  <c r="O266" i="4" s="1"/>
  <c r="N171" i="4"/>
  <c r="O171" i="4" s="1"/>
  <c r="N256" i="4"/>
  <c r="O256" i="4" s="1"/>
  <c r="N19" i="4"/>
  <c r="O19" i="4" s="1"/>
  <c r="N122" i="4"/>
  <c r="O122" i="4" s="1"/>
  <c r="N130" i="4"/>
  <c r="O130" i="4" s="1"/>
  <c r="N54" i="4"/>
  <c r="O54" i="4" s="1"/>
  <c r="N185" i="4"/>
  <c r="O185" i="4" s="1"/>
  <c r="N242" i="4"/>
  <c r="O242" i="4" s="1"/>
  <c r="L242" i="4"/>
  <c r="L185" i="4"/>
  <c r="L54" i="4"/>
  <c r="L130" i="4"/>
  <c r="L122" i="4"/>
  <c r="L19" i="4"/>
  <c r="L256" i="4"/>
  <c r="L171" i="4"/>
  <c r="L266" i="4"/>
  <c r="L186" i="4"/>
  <c r="L182" i="4"/>
  <c r="L150" i="4"/>
  <c r="L151" i="4"/>
  <c r="L144" i="4"/>
  <c r="L39" i="4"/>
  <c r="L49" i="4"/>
  <c r="L257" i="4"/>
  <c r="L262" i="4"/>
  <c r="L141" i="4"/>
  <c r="L145" i="4"/>
  <c r="L152" i="4"/>
  <c r="L239" i="4"/>
  <c r="L240" i="4"/>
  <c r="L12" i="4"/>
  <c r="L162" i="4"/>
  <c r="L10" i="4"/>
  <c r="L250" i="4"/>
  <c r="L271" i="4"/>
  <c r="L170" i="4"/>
  <c r="N10" i="4"/>
  <c r="O10" i="4" s="1"/>
  <c r="N250" i="4"/>
  <c r="O250" i="4" s="1"/>
  <c r="N271" i="4"/>
  <c r="O271" i="4" s="1"/>
  <c r="N170" i="4"/>
  <c r="O170" i="4" s="1"/>
  <c r="N215" i="4"/>
  <c r="O215" i="4" s="1"/>
  <c r="L215" i="4"/>
  <c r="I162" i="4"/>
  <c r="J162" i="4"/>
  <c r="I12" i="4"/>
  <c r="J12" i="4"/>
  <c r="I240" i="4"/>
  <c r="J240" i="4"/>
  <c r="I239" i="4"/>
  <c r="J239" i="4"/>
  <c r="J152" i="4"/>
  <c r="I152" i="4"/>
  <c r="I145" i="4"/>
  <c r="J145" i="4"/>
  <c r="I141" i="4"/>
  <c r="J141" i="4"/>
  <c r="I262" i="4"/>
  <c r="J262" i="4"/>
  <c r="I257" i="4"/>
  <c r="J257" i="4"/>
  <c r="I49" i="4"/>
  <c r="J49" i="4"/>
  <c r="I39" i="4"/>
  <c r="J39" i="4"/>
  <c r="I144" i="4"/>
  <c r="J144" i="4"/>
  <c r="I151" i="4"/>
  <c r="J151" i="4"/>
  <c r="I150" i="4"/>
  <c r="J150" i="4"/>
  <c r="I182" i="4"/>
  <c r="J182" i="4"/>
  <c r="I186" i="4"/>
  <c r="J186" i="4"/>
  <c r="I266" i="4"/>
  <c r="J266" i="4"/>
  <c r="I171" i="4"/>
  <c r="J171" i="4"/>
  <c r="I256" i="4"/>
  <c r="J256" i="4"/>
  <c r="I19" i="4"/>
  <c r="J19" i="4"/>
  <c r="I122" i="4"/>
  <c r="J122" i="4"/>
  <c r="I130" i="4"/>
  <c r="J130" i="4"/>
  <c r="I54" i="4"/>
  <c r="J54" i="4"/>
  <c r="I185" i="4"/>
  <c r="J185" i="4"/>
  <c r="I242" i="4"/>
  <c r="J242" i="4"/>
  <c r="I170" i="4"/>
  <c r="J170" i="4"/>
  <c r="I271" i="4"/>
  <c r="J271" i="4"/>
  <c r="I250" i="4"/>
  <c r="J250" i="4"/>
  <c r="I10" i="4"/>
  <c r="I215" i="4"/>
  <c r="J10" i="4"/>
  <c r="J215" i="4"/>
  <c r="K55" i="4" l="1"/>
  <c r="K251" i="4"/>
  <c r="K250" i="4"/>
  <c r="K170" i="4"/>
  <c r="K130" i="4"/>
  <c r="K171" i="4"/>
  <c r="K150" i="4"/>
  <c r="K49" i="4"/>
  <c r="K102" i="4"/>
  <c r="K83" i="4"/>
  <c r="K9" i="4"/>
  <c r="K45" i="4"/>
  <c r="K68" i="4"/>
  <c r="K65" i="4"/>
  <c r="K206" i="4"/>
  <c r="K244" i="4"/>
  <c r="K114" i="4"/>
  <c r="K86" i="4"/>
  <c r="K16" i="4"/>
  <c r="K149" i="4"/>
  <c r="K6" i="4"/>
  <c r="K32" i="4"/>
  <c r="K154" i="4"/>
  <c r="K215" i="4"/>
  <c r="K224" i="4"/>
  <c r="K187" i="4"/>
  <c r="K42" i="4"/>
  <c r="K84" i="4"/>
  <c r="K71" i="4"/>
  <c r="K63" i="4"/>
  <c r="K267" i="4"/>
  <c r="K254" i="4"/>
  <c r="K59" i="4"/>
  <c r="K153" i="4"/>
  <c r="K260" i="4"/>
  <c r="K213" i="4"/>
  <c r="K131" i="4"/>
  <c r="K28" i="4"/>
  <c r="K96" i="4"/>
  <c r="K173" i="4"/>
  <c r="K21" i="4"/>
  <c r="K53" i="4"/>
  <c r="K268" i="4"/>
  <c r="K185" i="4"/>
  <c r="K19" i="4"/>
  <c r="K186" i="4"/>
  <c r="K144" i="4"/>
  <c r="K262" i="4"/>
  <c r="K145" i="4"/>
  <c r="K239" i="4"/>
  <c r="K12" i="4"/>
  <c r="K88" i="4"/>
  <c r="K76" i="4"/>
  <c r="K99" i="4"/>
  <c r="K103" i="4"/>
  <c r="K140" i="4"/>
  <c r="K259" i="4"/>
  <c r="K199" i="4"/>
  <c r="K181" i="4"/>
  <c r="K210" i="4"/>
  <c r="K159" i="4"/>
  <c r="K113" i="4"/>
  <c r="K33" i="4"/>
  <c r="K125" i="4"/>
  <c r="K69" i="4"/>
  <c r="K35" i="4"/>
  <c r="K48" i="4"/>
  <c r="K118" i="4"/>
  <c r="K183" i="4"/>
  <c r="K100" i="4"/>
  <c r="K234" i="4"/>
  <c r="K136" i="4"/>
  <c r="K20" i="4"/>
  <c r="K7" i="4"/>
  <c r="K115" i="4"/>
  <c r="K142" i="4"/>
  <c r="K116" i="4"/>
  <c r="K246" i="4"/>
  <c r="K112" i="4"/>
  <c r="K207" i="4"/>
  <c r="K232" i="4"/>
  <c r="K247" i="4"/>
  <c r="K126" i="4"/>
  <c r="K29" i="4"/>
  <c r="K128" i="4"/>
  <c r="K160" i="4"/>
  <c r="K123" i="4"/>
  <c r="K105" i="4"/>
  <c r="K188" i="4"/>
  <c r="K214" i="4"/>
  <c r="K75" i="4"/>
  <c r="K265" i="4"/>
  <c r="K189" i="4"/>
  <c r="K231" i="4"/>
  <c r="K216" i="4"/>
  <c r="K217" i="4"/>
  <c r="K77" i="4"/>
  <c r="K208" i="4"/>
  <c r="K13" i="4"/>
  <c r="K17" i="4"/>
  <c r="K226" i="4"/>
  <c r="K61" i="4"/>
  <c r="K229" i="4"/>
  <c r="K46" i="4"/>
  <c r="K146" i="4"/>
  <c r="K50" i="4"/>
  <c r="K36" i="4"/>
  <c r="K248" i="4"/>
  <c r="K66" i="4"/>
  <c r="K92" i="4"/>
  <c r="K274" i="4"/>
  <c r="K272" i="4"/>
  <c r="K43" i="4"/>
  <c r="K56" i="4"/>
  <c r="K261" i="4"/>
  <c r="K101" i="4"/>
  <c r="K30" i="4"/>
  <c r="K201" i="4"/>
  <c r="K18" i="4"/>
  <c r="K264" i="4"/>
  <c r="K89" i="4"/>
  <c r="K221" i="4"/>
  <c r="K148" i="4"/>
  <c r="K242" i="4"/>
  <c r="K243" i="4"/>
  <c r="K269" i="4"/>
  <c r="K245" i="4"/>
  <c r="K107" i="4"/>
  <c r="K209" i="4"/>
  <c r="K94" i="4"/>
  <c r="K40" i="4"/>
  <c r="K109" i="4"/>
  <c r="K228" i="4"/>
  <c r="K253" i="4"/>
  <c r="K41" i="4"/>
  <c r="K276" i="4"/>
  <c r="K169" i="4"/>
  <c r="K70" i="4"/>
  <c r="K172" i="4"/>
  <c r="K241" i="4"/>
  <c r="K47" i="4"/>
  <c r="K37" i="4"/>
  <c r="K31" i="4"/>
  <c r="K203" i="4"/>
  <c r="K249" i="4"/>
  <c r="K22" i="4"/>
  <c r="K57" i="4"/>
  <c r="K133" i="4"/>
  <c r="K147" i="4"/>
  <c r="K26" i="4"/>
  <c r="K273" i="4"/>
  <c r="K121" i="4"/>
  <c r="K219" i="4"/>
  <c r="K139" i="4"/>
  <c r="K23" i="4"/>
  <c r="K211" i="4"/>
  <c r="K127" i="4"/>
  <c r="K81" i="4"/>
  <c r="K163" i="4"/>
  <c r="K78" i="4"/>
  <c r="K174" i="4"/>
  <c r="K119" i="4"/>
  <c r="K223" i="4"/>
  <c r="K138" i="4"/>
  <c r="K175" i="4"/>
  <c r="K24" i="4"/>
  <c r="K110" i="4"/>
  <c r="K190" i="4"/>
  <c r="K176" i="4"/>
  <c r="K155" i="4"/>
  <c r="K73" i="4"/>
  <c r="K275" i="4"/>
  <c r="K238" i="4"/>
  <c r="K117" i="4"/>
  <c r="K82" i="4"/>
  <c r="K177" i="4"/>
  <c r="K90" i="4"/>
  <c r="K237" i="4"/>
  <c r="K277" i="4"/>
  <c r="K8" i="4"/>
  <c r="K166" i="4"/>
  <c r="K202" i="4"/>
  <c r="K85" i="4"/>
  <c r="K132" i="4"/>
  <c r="K129" i="4"/>
  <c r="K15" i="4"/>
  <c r="K51" i="4"/>
  <c r="K197" i="4"/>
  <c r="K212" i="4"/>
  <c r="K80" i="4"/>
  <c r="K38" i="4"/>
  <c r="K198" i="4"/>
  <c r="K156" i="4"/>
  <c r="K120" i="4"/>
  <c r="K104" i="4"/>
  <c r="K168" i="4"/>
  <c r="K222" i="4"/>
  <c r="K196" i="4"/>
  <c r="K91" i="4"/>
  <c r="K158" i="4"/>
  <c r="K134" i="4"/>
  <c r="K4" i="4"/>
  <c r="K98" i="4"/>
  <c r="K108" i="4"/>
  <c r="K205" i="4"/>
  <c r="K230" i="4"/>
  <c r="K180" i="4"/>
  <c r="K106" i="4"/>
  <c r="K39" i="4"/>
  <c r="K74" i="4"/>
  <c r="K220" i="4"/>
  <c r="K191" i="4"/>
  <c r="K34" i="4"/>
  <c r="K255" i="4"/>
  <c r="K11" i="4"/>
  <c r="K87" i="4"/>
  <c r="K164" i="4"/>
  <c r="K252" i="4"/>
  <c r="K27" i="4"/>
  <c r="K14" i="4"/>
  <c r="K178" i="4"/>
  <c r="K218" i="4"/>
  <c r="K227" i="4"/>
  <c r="K184" i="4"/>
  <c r="K124" i="4"/>
  <c r="K93" i="4"/>
  <c r="K62" i="4"/>
  <c r="K25" i="4"/>
  <c r="K204" i="4"/>
  <c r="K161" i="4"/>
  <c r="K5" i="4"/>
  <c r="K165" i="4"/>
  <c r="K135" i="4"/>
  <c r="K192" i="4"/>
  <c r="K193" i="4"/>
  <c r="K235" i="4"/>
  <c r="K97" i="4"/>
  <c r="K44" i="4"/>
  <c r="K236" i="4"/>
  <c r="K233" i="4"/>
  <c r="K95" i="4"/>
  <c r="K270" i="4"/>
  <c r="K143" i="4"/>
  <c r="K194" i="4"/>
  <c r="K195" i="4"/>
  <c r="K167" i="4"/>
  <c r="K157" i="4"/>
  <c r="K58" i="4"/>
  <c r="K111" i="4"/>
  <c r="K258" i="4"/>
  <c r="K263" i="4"/>
  <c r="K79" i="4"/>
  <c r="K67" i="4"/>
  <c r="K64" i="4"/>
  <c r="K72" i="4"/>
  <c r="K60" i="4"/>
  <c r="K179" i="4"/>
  <c r="K52" i="4"/>
  <c r="K225" i="4"/>
  <c r="K137" i="4"/>
  <c r="K10" i="4"/>
  <c r="K271" i="4"/>
  <c r="K54" i="4"/>
  <c r="K122" i="4"/>
  <c r="K256" i="4"/>
  <c r="K266" i="4"/>
  <c r="K182" i="4"/>
  <c r="K151" i="4"/>
  <c r="K257" i="4"/>
  <c r="K141" i="4"/>
  <c r="K152" i="4"/>
  <c r="K240" i="4"/>
  <c r="K162" i="4"/>
</calcChain>
</file>

<file path=xl/sharedStrings.xml><?xml version="1.0" encoding="utf-8"?>
<sst xmlns="http://schemas.openxmlformats.org/spreadsheetml/2006/main" count="576" uniqueCount="563">
  <si>
    <t>22ND CENTURY GROUP</t>
  </si>
  <si>
    <t>XXII</t>
  </si>
  <si>
    <t>A-MARK PRECIOUS METALS</t>
  </si>
  <si>
    <t>AMRK</t>
  </si>
  <si>
    <t>ACLARIS THERAPEUTICS</t>
  </si>
  <si>
    <t>ACRS</t>
  </si>
  <si>
    <t>ADECOAGRO</t>
  </si>
  <si>
    <t>AGRO</t>
  </si>
  <si>
    <t>ADIENT</t>
  </si>
  <si>
    <t>ADNT</t>
  </si>
  <si>
    <t>ADV BLOCKCHAIN</t>
  </si>
  <si>
    <t>ABX</t>
  </si>
  <si>
    <t>AFFILIATED MANAGERS</t>
  </si>
  <si>
    <t>AMG</t>
  </si>
  <si>
    <t>ALFEN</t>
  </si>
  <si>
    <t>ALPHA AND OMEGA SEMICONDUCTOR</t>
  </si>
  <si>
    <t>AOSL</t>
  </si>
  <si>
    <t>ALPHATEC HLD</t>
  </si>
  <si>
    <t>ATEC</t>
  </si>
  <si>
    <t>ALTIMMUNE</t>
  </si>
  <si>
    <t>ALT</t>
  </si>
  <si>
    <t>ALUMEXX</t>
  </si>
  <si>
    <t>ALX</t>
  </si>
  <si>
    <t>AMBARELLA</t>
  </si>
  <si>
    <t>AMBA</t>
  </si>
  <si>
    <t>AMC NETWORKS</t>
  </si>
  <si>
    <t>AMCX</t>
  </si>
  <si>
    <t>ANGIODYNAMICS</t>
  </si>
  <si>
    <t>ANGO</t>
  </si>
  <si>
    <t>APPIAN CORP</t>
  </si>
  <si>
    <t>APPN</t>
  </si>
  <si>
    <t>APTEVO THERAPEUTICS</t>
  </si>
  <si>
    <t>APVO</t>
  </si>
  <si>
    <t>APTIV PLC</t>
  </si>
  <si>
    <t>APTV</t>
  </si>
  <si>
    <t>ARCADIS</t>
  </si>
  <si>
    <t>ARCAD</t>
  </si>
  <si>
    <t>ARCIMOTO</t>
  </si>
  <si>
    <t>ARGENT MINERALS LTD</t>
  </si>
  <si>
    <t>ARD</t>
  </si>
  <si>
    <t>ARGO BLOCKCHAIN</t>
  </si>
  <si>
    <t>ARB</t>
  </si>
  <si>
    <t>ATEA PHARMACEUTICALS</t>
  </si>
  <si>
    <t>AVIR</t>
  </si>
  <si>
    <t>AVID TECHNOLOGY</t>
  </si>
  <si>
    <t>AVID</t>
  </si>
  <si>
    <t>AXOS FINANCIAL</t>
  </si>
  <si>
    <t>AX</t>
  </si>
  <si>
    <t>B RILEY FINANCIAL</t>
  </si>
  <si>
    <t>RILY</t>
  </si>
  <si>
    <t>BAIDU INC ADS</t>
  </si>
  <si>
    <t>BIDU</t>
  </si>
  <si>
    <t>BARNES &amp; NOBLE</t>
  </si>
  <si>
    <t>BNED</t>
  </si>
  <si>
    <t>BATM ADVANCED</t>
  </si>
  <si>
    <t>BVC</t>
  </si>
  <si>
    <t>BEAM GLOBAL</t>
  </si>
  <si>
    <t>BEEM</t>
  </si>
  <si>
    <t>BEAM THERAPEUTICS</t>
  </si>
  <si>
    <t>BEAM</t>
  </si>
  <si>
    <t>BEFESA</t>
  </si>
  <si>
    <t>BFSA</t>
  </si>
  <si>
    <t>BERKELEY ENERGIA</t>
  </si>
  <si>
    <t>BKY</t>
  </si>
  <si>
    <t>BETTERWATE</t>
  </si>
  <si>
    <t>BWMX</t>
  </si>
  <si>
    <t>BIG 5 SPORTING</t>
  </si>
  <si>
    <t>BGFV</t>
  </si>
  <si>
    <t>BILI</t>
  </si>
  <si>
    <t>BIO-TECHNE</t>
  </si>
  <si>
    <t>TECH</t>
  </si>
  <si>
    <t>BIOLIFE SOLUTIONS</t>
  </si>
  <si>
    <t>BLFS</t>
  </si>
  <si>
    <t>BIT DIGITAL</t>
  </si>
  <si>
    <t>BTBT</t>
  </si>
  <si>
    <t>BITFARMS</t>
  </si>
  <si>
    <t>BITF</t>
  </si>
  <si>
    <t>BLOOM ENERGY</t>
  </si>
  <si>
    <t>BE</t>
  </si>
  <si>
    <t>BOOT BARN HLD</t>
  </si>
  <si>
    <t>BOOT</t>
  </si>
  <si>
    <t>BOSTON OMAHA</t>
  </si>
  <si>
    <t>BOC</t>
  </si>
  <si>
    <t>BRIDGEBIO</t>
  </si>
  <si>
    <t>BBIO</t>
  </si>
  <si>
    <t>BUCKLE</t>
  </si>
  <si>
    <t>BKE</t>
  </si>
  <si>
    <t>CALIX</t>
  </si>
  <si>
    <t>CALX</t>
  </si>
  <si>
    <t>CAMBIUM NETWORKS</t>
  </si>
  <si>
    <t>CMBM</t>
  </si>
  <si>
    <t>CANADIAN SOLAR</t>
  </si>
  <si>
    <t>CSIQ</t>
  </si>
  <si>
    <t>CANOPY GROWTH CORP</t>
  </si>
  <si>
    <t>CGC</t>
  </si>
  <si>
    <t>CARBIOS</t>
  </si>
  <si>
    <t>ALCRB</t>
  </si>
  <si>
    <t>CARDIFF ONCOLOGY</t>
  </si>
  <si>
    <t>CRDF</t>
  </si>
  <si>
    <t>CAREDX</t>
  </si>
  <si>
    <t>CDNA</t>
  </si>
  <si>
    <t>CARPARTS,COM</t>
  </si>
  <si>
    <t>PRTS</t>
  </si>
  <si>
    <t>CELLDEX</t>
  </si>
  <si>
    <t>CLDX</t>
  </si>
  <si>
    <t>CELSIUS HLD</t>
  </si>
  <si>
    <t>CELH</t>
  </si>
  <si>
    <t>CHARGEPOINT HLD</t>
  </si>
  <si>
    <t>CHPT</t>
  </si>
  <si>
    <t>CHARLES &amp; COLVARD</t>
  </si>
  <si>
    <t>CTHR</t>
  </si>
  <si>
    <t>CHICKEN SOUP FOR THE SOUL</t>
  </si>
  <si>
    <t>CSSE</t>
  </si>
  <si>
    <t>CHIMERIX</t>
  </si>
  <si>
    <t>CMRX</t>
  </si>
  <si>
    <t>CLEARPOINT</t>
  </si>
  <si>
    <t>CLPT</t>
  </si>
  <si>
    <t>CLIQ DIGITAL</t>
  </si>
  <si>
    <t>CLIQ</t>
  </si>
  <si>
    <t>CO-DIAGNOSTICS</t>
  </si>
  <si>
    <t>CODX</t>
  </si>
  <si>
    <t>COMSOVEREIGN HLD</t>
  </si>
  <si>
    <t>COMS</t>
  </si>
  <si>
    <t>CONTAINER STORE</t>
  </si>
  <si>
    <t>TCS</t>
  </si>
  <si>
    <t>CRITEO</t>
  </si>
  <si>
    <t>CRTO</t>
  </si>
  <si>
    <t>DANAOS</t>
  </si>
  <si>
    <t>DAC</t>
  </si>
  <si>
    <t>DAQO NEW ENERGY</t>
  </si>
  <si>
    <t>DQ</t>
  </si>
  <si>
    <t>DARLING INGREDIENTS</t>
  </si>
  <si>
    <t>DAR</t>
  </si>
  <si>
    <t>DELFINGEN</t>
  </si>
  <si>
    <t>ALDEL</t>
  </si>
  <si>
    <t>DELTA PLUS GROUP</t>
  </si>
  <si>
    <t>ALDLT</t>
  </si>
  <si>
    <t>DERICHEBOURG</t>
  </si>
  <si>
    <t>DBG</t>
  </si>
  <si>
    <t>DERMETCH</t>
  </si>
  <si>
    <t>DMTK</t>
  </si>
  <si>
    <t>DIGIMARC CORP</t>
  </si>
  <si>
    <t>DMRC</t>
  </si>
  <si>
    <t>DIGITAL TURBINE</t>
  </si>
  <si>
    <t>APPS</t>
  </si>
  <si>
    <t>DILLARD</t>
  </si>
  <si>
    <t>DDS</t>
  </si>
  <si>
    <t>DISCOVER FINANCIAL SERVICES</t>
  </si>
  <si>
    <t>DFS</t>
  </si>
  <si>
    <t>DONNELLEY</t>
  </si>
  <si>
    <t>DFIN</t>
  </si>
  <si>
    <t>DRONE VOLT</t>
  </si>
  <si>
    <t>ALDRV</t>
  </si>
  <si>
    <t>EAST WEST BANCORP</t>
  </si>
  <si>
    <t>EWBC</t>
  </si>
  <si>
    <t>EMEREN GROUP</t>
  </si>
  <si>
    <t>SOL</t>
  </si>
  <si>
    <t>ENERGIEKONTOR</t>
  </si>
  <si>
    <t>EKT</t>
  </si>
  <si>
    <t>ENGLOBAL CORP</t>
  </si>
  <si>
    <t>ENG</t>
  </si>
  <si>
    <t>ENPHASE ENERGY</t>
  </si>
  <si>
    <t>ENPH</t>
  </si>
  <si>
    <t>ENTRAVISION COM,</t>
  </si>
  <si>
    <t>EVC</t>
  </si>
  <si>
    <t>ESTABLISHMENT LABS</t>
  </si>
  <si>
    <t>ESTA</t>
  </si>
  <si>
    <t>ETHAN ALLEN INTERIORS</t>
  </si>
  <si>
    <t>ETD</t>
  </si>
  <si>
    <t>EVELO BIOSCIENCES</t>
  </si>
  <si>
    <t>EVLO</t>
  </si>
  <si>
    <t>EXEL INDUSTRIES</t>
  </si>
  <si>
    <t>EXE</t>
  </si>
  <si>
    <t>EXP WORLD HLD</t>
  </si>
  <si>
    <t>EXPI</t>
  </si>
  <si>
    <t>EXTREME NETWORKS</t>
  </si>
  <si>
    <t>EXTR</t>
  </si>
  <si>
    <t>FARFETCH LTD</t>
  </si>
  <si>
    <t>FASTLY</t>
  </si>
  <si>
    <t>FSLY</t>
  </si>
  <si>
    <t>FASTNED</t>
  </si>
  <si>
    <t>FAST</t>
  </si>
  <si>
    <t>FEDEX CORP</t>
  </si>
  <si>
    <t>FDX</t>
  </si>
  <si>
    <t>FERREXPO ORD 10P</t>
  </si>
  <si>
    <t>FXPO</t>
  </si>
  <si>
    <t>FIDELITY CHINA SPECIAL</t>
  </si>
  <si>
    <t>FCSS</t>
  </si>
  <si>
    <t>FIRST BANCORP</t>
  </si>
  <si>
    <t>FBP</t>
  </si>
  <si>
    <t>FIRST CAPITAL</t>
  </si>
  <si>
    <t>FIC</t>
  </si>
  <si>
    <t>FIVERR INTERNATIONAL</t>
  </si>
  <si>
    <t>FVRR</t>
  </si>
  <si>
    <t>FOCUS ENTERTAINMENT</t>
  </si>
  <si>
    <t>ALFOC</t>
  </si>
  <si>
    <t>FORESIGHT</t>
  </si>
  <si>
    <t>FRSX</t>
  </si>
  <si>
    <t>FREEDOM HLD</t>
  </si>
  <si>
    <t>FRHC</t>
  </si>
  <si>
    <t>FREEPORT</t>
  </si>
  <si>
    <t>FCX</t>
  </si>
  <si>
    <t>FUTU HLD</t>
  </si>
  <si>
    <t>FUTU</t>
  </si>
  <si>
    <t>GANNETT CO</t>
  </si>
  <si>
    <t>GCI</t>
  </si>
  <si>
    <t>GAOTU</t>
  </si>
  <si>
    <t>GOTU</t>
  </si>
  <si>
    <t>GENERAC HLD</t>
  </si>
  <si>
    <t>GNRC</t>
  </si>
  <si>
    <t>GEVO</t>
  </si>
  <si>
    <t>GLOBAL FASHION</t>
  </si>
  <si>
    <t>GFG</t>
  </si>
  <si>
    <t>GOOSEHEAD INSURANCE</t>
  </si>
  <si>
    <t>GSHD</t>
  </si>
  <si>
    <t>GRAVITY CO</t>
  </si>
  <si>
    <t>GRVY</t>
  </si>
  <si>
    <t>GREELAND</t>
  </si>
  <si>
    <t>GTEC</t>
  </si>
  <si>
    <t>GRENERGY</t>
  </si>
  <si>
    <t>GRE</t>
  </si>
  <si>
    <t>GROUPE LDLC</t>
  </si>
  <si>
    <t>ALLDL</t>
  </si>
  <si>
    <t>GROWGENERATION</t>
  </si>
  <si>
    <t>GRWG</t>
  </si>
  <si>
    <t>GUILLEMOT</t>
  </si>
  <si>
    <t>GUI</t>
  </si>
  <si>
    <t>HAVERTY FURNITURE</t>
  </si>
  <si>
    <t>HVT</t>
  </si>
  <si>
    <t>HERC HLD</t>
  </si>
  <si>
    <t>HRI</t>
  </si>
  <si>
    <t>HERITAGE GLOBAL</t>
  </si>
  <si>
    <t>HGBL</t>
  </si>
  <si>
    <t>IHRT</t>
  </si>
  <si>
    <t>HIMAX TECHNOLOGIES</t>
  </si>
  <si>
    <t>HIMX</t>
  </si>
  <si>
    <t>HIREQUEST</t>
  </si>
  <si>
    <t>HQI</t>
  </si>
  <si>
    <t>HIVE DIGITAL TECH</t>
  </si>
  <si>
    <t>HIVE</t>
  </si>
  <si>
    <t>HUT</t>
  </si>
  <si>
    <t>IBU-TEC ADV,MATER</t>
  </si>
  <si>
    <t>IBU</t>
  </si>
  <si>
    <t>IMUNON</t>
  </si>
  <si>
    <t>IMNN</t>
  </si>
  <si>
    <t>INFINITY</t>
  </si>
  <si>
    <t>INFI</t>
  </si>
  <si>
    <t>INNODATA</t>
  </si>
  <si>
    <t>INOD</t>
  </si>
  <si>
    <t>INNOVATIVE INDUSTRIAL</t>
  </si>
  <si>
    <t>IIPR</t>
  </si>
  <si>
    <t>INTELLIA THERAPEUTICS</t>
  </si>
  <si>
    <t>NTLA</t>
  </si>
  <si>
    <t>INTRUSION</t>
  </si>
  <si>
    <t>INTZ</t>
  </si>
  <si>
    <t>JEFFERIES FINANCIAL</t>
  </si>
  <si>
    <t>JEF</t>
  </si>
  <si>
    <t>JINKOSOLARHLD</t>
  </si>
  <si>
    <t>JKS</t>
  </si>
  <si>
    <t>JUMIA TECHNOLOGIES</t>
  </si>
  <si>
    <t>JMIA</t>
  </si>
  <si>
    <t>KAIVAL BRANDS</t>
  </si>
  <si>
    <t>KAVL</t>
  </si>
  <si>
    <t>KAIXIN AUTO HLD</t>
  </si>
  <si>
    <t>KXIN</t>
  </si>
  <si>
    <t>KEYSIGHT TECHNOLOGIES</t>
  </si>
  <si>
    <t>KEYS</t>
  </si>
  <si>
    <t>KHOL S CORP</t>
  </si>
  <si>
    <t>KSS</t>
  </si>
  <si>
    <t>KIRKLAND S</t>
  </si>
  <si>
    <t>KIRK</t>
  </si>
  <si>
    <t>KONTOOR BRANDS</t>
  </si>
  <si>
    <t>KTB</t>
  </si>
  <si>
    <t>KORN FERRY</t>
  </si>
  <si>
    <t>KFY</t>
  </si>
  <si>
    <t>KULICHE</t>
  </si>
  <si>
    <t>KLIC</t>
  </si>
  <si>
    <t>LATTICE SEMICONDUCTOR</t>
  </si>
  <si>
    <t>LSCC</t>
  </si>
  <si>
    <t>LAZIDAYS HLD</t>
  </si>
  <si>
    <t>LAZY</t>
  </si>
  <si>
    <t>LENDINGCLUB</t>
  </si>
  <si>
    <t>LC</t>
  </si>
  <si>
    <t>LEXICON PHARMACEUTICALS</t>
  </si>
  <si>
    <t>LXRX</t>
  </si>
  <si>
    <t>LIGHT &amp; WONDER</t>
  </si>
  <si>
    <t>LNW</t>
  </si>
  <si>
    <t>LIGHTINTHEBOX</t>
  </si>
  <si>
    <t>LITB</t>
  </si>
  <si>
    <t>LIGHTSPEED</t>
  </si>
  <si>
    <t>LSPD</t>
  </si>
  <si>
    <t>LIMBACH HLD</t>
  </si>
  <si>
    <t>LMB</t>
  </si>
  <si>
    <t>LLEIDANETWORKS</t>
  </si>
  <si>
    <t>LLN</t>
  </si>
  <si>
    <t>LORDSTOWN MTRS</t>
  </si>
  <si>
    <t>RIDEQ</t>
  </si>
  <si>
    <t>MAGNITE</t>
  </si>
  <si>
    <t>MGNI</t>
  </si>
  <si>
    <t>MARATHON DIGITAL</t>
  </si>
  <si>
    <t>MARA</t>
  </si>
  <si>
    <t>MEDIAN TECHNOLOGIES</t>
  </si>
  <si>
    <t>ALMDT</t>
  </si>
  <si>
    <t>MERCADOLIBRE</t>
  </si>
  <si>
    <t>MELI</t>
  </si>
  <si>
    <t>MGI-MEDIA AND GAMES</t>
  </si>
  <si>
    <t>M8G</t>
  </si>
  <si>
    <t>MICRON TECHNOLOGY</t>
  </si>
  <si>
    <t>MU</t>
  </si>
  <si>
    <t>MICROSTRATEGIY</t>
  </si>
  <si>
    <t>MSTR</t>
  </si>
  <si>
    <t>MIND MEDICINE</t>
  </si>
  <si>
    <t>MNMD</t>
  </si>
  <si>
    <t>MOELIS &amp; CO</t>
  </si>
  <si>
    <t>MC</t>
  </si>
  <si>
    <t>MOGO</t>
  </si>
  <si>
    <t>MR COOPER GROUP</t>
  </si>
  <si>
    <t>COOP</t>
  </si>
  <si>
    <t>NATUZZI</t>
  </si>
  <si>
    <t>NTZ</t>
  </si>
  <si>
    <t>NEURONETICS</t>
  </si>
  <si>
    <t>STIM</t>
  </si>
  <si>
    <t>NIO INC</t>
  </si>
  <si>
    <t>NIO</t>
  </si>
  <si>
    <t>NIU TECHNOLOGIES</t>
  </si>
  <si>
    <t>NIU</t>
  </si>
  <si>
    <t>NORDEX SE</t>
  </si>
  <si>
    <t>NDX1</t>
  </si>
  <si>
    <t>NORSK HYDRO</t>
  </si>
  <si>
    <t>NHY_NO</t>
  </si>
  <si>
    <t>NOVACYT</t>
  </si>
  <si>
    <t>ALNOV</t>
  </si>
  <si>
    <t>NOVAVAX</t>
  </si>
  <si>
    <t>NVAX</t>
  </si>
  <si>
    <t>OCULAR THERAPEOTIX</t>
  </si>
  <si>
    <t>OCUL</t>
  </si>
  <si>
    <t>OEKOWORLD</t>
  </si>
  <si>
    <t>VVV3</t>
  </si>
  <si>
    <t>ON SEMICONDUCTOR</t>
  </si>
  <si>
    <t>ON</t>
  </si>
  <si>
    <t>ONTO INNOVATION</t>
  </si>
  <si>
    <t>ONTO</t>
  </si>
  <si>
    <t>OPPENHEIMER</t>
  </si>
  <si>
    <t>OPY</t>
  </si>
  <si>
    <t>ORGAOGENESYS</t>
  </si>
  <si>
    <t>ORGO</t>
  </si>
  <si>
    <t>PACIFIC BIOSCIENCES</t>
  </si>
  <si>
    <t>PACB</t>
  </si>
  <si>
    <t>PARTY CITY</t>
  </si>
  <si>
    <t>PRTYQ</t>
  </si>
  <si>
    <t>PDD HLD</t>
  </si>
  <si>
    <t>PDD</t>
  </si>
  <si>
    <t>PELOTON INTERACTIVE</t>
  </si>
  <si>
    <t>PTON</t>
  </si>
  <si>
    <t>PERION</t>
  </si>
  <si>
    <t>PERI</t>
  </si>
  <si>
    <t>PETVIVO HLD</t>
  </si>
  <si>
    <t>PETV</t>
  </si>
  <si>
    <t>PINTEREST</t>
  </si>
  <si>
    <t>PINS</t>
  </si>
  <si>
    <t>PLUG POWER</t>
  </si>
  <si>
    <t>PLUG</t>
  </si>
  <si>
    <t>PREMIER FOODS</t>
  </si>
  <si>
    <t>PFD</t>
  </si>
  <si>
    <t>PROPHASE</t>
  </si>
  <si>
    <t>PRPH</t>
  </si>
  <si>
    <t>TPE</t>
  </si>
  <si>
    <t>QUEST RESOURCE HJD</t>
  </si>
  <si>
    <t>QRHC</t>
  </si>
  <si>
    <t>RAINBOW RARE EARTHS</t>
  </si>
  <si>
    <t>RBW</t>
  </si>
  <si>
    <t>RAYMOND JAMES FINANCIAL</t>
  </si>
  <si>
    <t>RJF</t>
  </si>
  <si>
    <t>RCI HOSPITALITY</t>
  </si>
  <si>
    <t>RICK</t>
  </si>
  <si>
    <t>REC SILICON ASA</t>
  </si>
  <si>
    <t>RECSI_NO</t>
  </si>
  <si>
    <t>RED ROBIN GOURMET</t>
  </si>
  <si>
    <t>RRGB</t>
  </si>
  <si>
    <t>REGIONAL MANAGEMENT</t>
  </si>
  <si>
    <t>RM</t>
  </si>
  <si>
    <t>RIOT PLATFORMS</t>
  </si>
  <si>
    <t>RIOT</t>
  </si>
  <si>
    <t>ROCKET PHAMACEUTICALS</t>
  </si>
  <si>
    <t>RCKT</t>
  </si>
  <si>
    <t>ROKU</t>
  </si>
  <si>
    <t>SCIUKER FRAMES</t>
  </si>
  <si>
    <t>SCK</t>
  </si>
  <si>
    <t>SEA LTD</t>
  </si>
  <si>
    <t>SE</t>
  </si>
  <si>
    <t>SHOWROOMPRIVE</t>
  </si>
  <si>
    <t>SRP</t>
  </si>
  <si>
    <t>SIDETRADE</t>
  </si>
  <si>
    <t>ALBFR</t>
  </si>
  <si>
    <t>SLM CORP</t>
  </si>
  <si>
    <t>SLM</t>
  </si>
  <si>
    <t>SMARTBROKER</t>
  </si>
  <si>
    <t>SB1</t>
  </si>
  <si>
    <t>SMARTPHOTO GROUP</t>
  </si>
  <si>
    <t>SMAR</t>
  </si>
  <si>
    <t>SOLARIA</t>
  </si>
  <si>
    <t>SLR</t>
  </si>
  <si>
    <t>SONOS</t>
  </si>
  <si>
    <t>SONO</t>
  </si>
  <si>
    <t>ST JOE COMPANY</t>
  </si>
  <si>
    <t>JOE</t>
  </si>
  <si>
    <t>STEEL PARTNERS</t>
  </si>
  <si>
    <t>SPLP</t>
  </si>
  <si>
    <t>STIFEL FINANCIAL</t>
  </si>
  <si>
    <t>SF</t>
  </si>
  <si>
    <t>SUMMIT THERAPEUTICX</t>
  </si>
  <si>
    <t>SMMT</t>
  </si>
  <si>
    <t>SUNOPTA</t>
  </si>
  <si>
    <t>STKL</t>
  </si>
  <si>
    <t>SUNPOWER</t>
  </si>
  <si>
    <t>SPWR</t>
  </si>
  <si>
    <t>SUNRUN</t>
  </si>
  <si>
    <t>RUN</t>
  </si>
  <si>
    <t>SUPERIOR INDUSTRIES</t>
  </si>
  <si>
    <t>SUP</t>
  </si>
  <si>
    <t>SVB FINL GROUP</t>
  </si>
  <si>
    <t>SIVBQ</t>
  </si>
  <si>
    <t>TAIWAN SEMICONDUCTOR</t>
  </si>
  <si>
    <t>TSM</t>
  </si>
  <si>
    <t>TAPESTRY</t>
  </si>
  <si>
    <t>TPR</t>
  </si>
  <si>
    <t>TARGET</t>
  </si>
  <si>
    <t>TGT</t>
  </si>
  <si>
    <t>TECHTARGET</t>
  </si>
  <si>
    <t>TTGT</t>
  </si>
  <si>
    <t>TELADOC HEALTH</t>
  </si>
  <si>
    <t>TDOC</t>
  </si>
  <si>
    <t>TESLA INC DL – 001</t>
  </si>
  <si>
    <t>TL0</t>
  </si>
  <si>
    <t>TEXTAINER GROUP HLD</t>
  </si>
  <si>
    <t>TGH</t>
  </si>
  <si>
    <t>THE TRADE DESK</t>
  </si>
  <si>
    <t>TTD</t>
  </si>
  <si>
    <t>TPI COMPOSITES</t>
  </si>
  <si>
    <t>TPIC</t>
  </si>
  <si>
    <t>TRACON PHARMACEUTICALS</t>
  </si>
  <si>
    <t>TCON</t>
  </si>
  <si>
    <t>TRIUMPH FINANCIAL</t>
  </si>
  <si>
    <t>TFIN</t>
  </si>
  <si>
    <t>TOUR</t>
  </si>
  <si>
    <t>TVA TEPLA</t>
  </si>
  <si>
    <t>TWIST BIOSCIENCES</t>
  </si>
  <si>
    <t>TWST</t>
  </si>
  <si>
    <t>UP FINTECH HLD</t>
  </si>
  <si>
    <t>TIGR</t>
  </si>
  <si>
    <t>UPWORK</t>
  </si>
  <si>
    <t>UPWK</t>
  </si>
  <si>
    <t>UTZ BRANDS</t>
  </si>
  <si>
    <t>UTZ</t>
  </si>
  <si>
    <t>VAPOTHERM</t>
  </si>
  <si>
    <t>VAPO</t>
  </si>
  <si>
    <t>VBI VACCINES</t>
  </si>
  <si>
    <t>VBIV</t>
  </si>
  <si>
    <t>VBK</t>
  </si>
  <si>
    <t>VERICEL CORP</t>
  </si>
  <si>
    <t>VCEL</t>
  </si>
  <si>
    <t>VIVOPOWER INTERNATIONAL</t>
  </si>
  <si>
    <t>VVPR</t>
  </si>
  <si>
    <t>VUZIX CORP</t>
  </si>
  <si>
    <t>VUZI</t>
  </si>
  <si>
    <t>WATCHES OF SWITZERLAND</t>
  </si>
  <si>
    <t>WOSG</t>
  </si>
  <si>
    <t>WEEBIT NANO</t>
  </si>
  <si>
    <t>WBT</t>
  </si>
  <si>
    <t>WESTERN ALLIANCE BANCORP</t>
  </si>
  <si>
    <t>WAL</t>
  </si>
  <si>
    <t>WESTPORT FUEL SYSTEMS</t>
  </si>
  <si>
    <t>WPRT</t>
  </si>
  <si>
    <t>WINTRUST FINANCIAL</t>
  </si>
  <si>
    <t>WTFC</t>
  </si>
  <si>
    <t>WIPRO LTD</t>
  </si>
  <si>
    <t>WIT</t>
  </si>
  <si>
    <t>WITBE</t>
  </si>
  <si>
    <t>ALWIT</t>
  </si>
  <si>
    <t>WIX COM</t>
  </si>
  <si>
    <t>WIX</t>
  </si>
  <si>
    <t>WORKIVA</t>
  </si>
  <si>
    <t>WK</t>
  </si>
  <si>
    <t>X-FAB</t>
  </si>
  <si>
    <t>XFAB</t>
  </si>
  <si>
    <t>ZAI LAB LTD</t>
  </si>
  <si>
    <t>ZLAB</t>
  </si>
  <si>
    <t>ZEBRA TECHNOLOGIES</t>
  </si>
  <si>
    <t>ZBRA</t>
  </si>
  <si>
    <t>ZOOM VIDEO</t>
  </si>
  <si>
    <t>ZM</t>
  </si>
  <si>
    <t>ZSCALER</t>
  </si>
  <si>
    <t>ZS</t>
  </si>
  <si>
    <t>ATOM</t>
  </si>
  <si>
    <t>ATOMERA</t>
  </si>
  <si>
    <t>CLSK</t>
  </si>
  <si>
    <t>IAC</t>
  </si>
  <si>
    <t>PMTS</t>
  </si>
  <si>
    <t>NMRK</t>
  </si>
  <si>
    <t>QNST</t>
  </si>
  <si>
    <t>QUINSTREET</t>
  </si>
  <si>
    <t>UIS</t>
  </si>
  <si>
    <t>TLRY</t>
  </si>
  <si>
    <t>TILRAY BRANDS</t>
  </si>
  <si>
    <t>VVY</t>
  </si>
  <si>
    <t>VIVORYON</t>
  </si>
  <si>
    <t>CTRN</t>
  </si>
  <si>
    <t>CITI TRENDS</t>
  </si>
  <si>
    <t>FNGR</t>
  </si>
  <si>
    <t>FINGERMOTION</t>
  </si>
  <si>
    <t>DEERE &amp; COMPANY</t>
  </si>
  <si>
    <t>DE</t>
  </si>
  <si>
    <t>ALMOU</t>
  </si>
  <si>
    <t>MOULINVEST</t>
  </si>
  <si>
    <t>CPI CARD GROUP</t>
  </si>
  <si>
    <t>BOWFLEX INC</t>
  </si>
  <si>
    <t>BFX</t>
  </si>
  <si>
    <t>FIFTH THIRD BANCORP</t>
  </si>
  <si>
    <t>FITB</t>
  </si>
  <si>
    <t>IAC INC</t>
  </si>
  <si>
    <t>IHEARTMEDIA INC</t>
  </si>
  <si>
    <t>NEWMARK GROUP INC</t>
  </si>
  <si>
    <t>UNISYS CORP</t>
  </si>
  <si>
    <t>TUNIU CORP</t>
  </si>
  <si>
    <t>MODERNA</t>
  </si>
  <si>
    <t>MRNA</t>
  </si>
  <si>
    <t>PLUN</t>
  </si>
  <si>
    <t>BEYOND</t>
  </si>
  <si>
    <t>BYON</t>
  </si>
  <si>
    <t>BITCOIN</t>
  </si>
  <si>
    <t>BTCEUR</t>
  </si>
  <si>
    <t>CLEANSPARK INC</t>
  </si>
  <si>
    <t>HUT 8 CORP</t>
  </si>
  <si>
    <t>VERBIO SE INH</t>
  </si>
  <si>
    <t>v</t>
  </si>
  <si>
    <t>FUVV</t>
  </si>
  <si>
    <t>FTCHQ</t>
  </si>
  <si>
    <t>28/128/2020</t>
  </si>
  <si>
    <t>BILIBILI INC</t>
  </si>
  <si>
    <t>EDUCATIONAL DEVELOPMENT</t>
  </si>
  <si>
    <t>EDUC</t>
  </si>
  <si>
    <t>MARA HOLDINGS</t>
  </si>
  <si>
    <t>CLEARPOINT NEURO</t>
  </si>
  <si>
    <t>NOM DES VALEURS</t>
  </si>
  <si>
    <t>TICKER</t>
  </si>
  <si>
    <t>DU SIGNAL</t>
  </si>
  <si>
    <t>VAR / COURS</t>
  </si>
  <si>
    <t>ACHAT</t>
  </si>
  <si>
    <t>PLUS HAUT</t>
  </si>
  <si>
    <t>DATE</t>
  </si>
  <si>
    <t>COURS</t>
  </si>
  <si>
    <t>DE JOURS</t>
  </si>
  <si>
    <t xml:space="preserve">NOMBRE </t>
  </si>
  <si>
    <t xml:space="preserve">DATE  </t>
  </si>
  <si>
    <t>JOURS</t>
  </si>
  <si>
    <t>PLUE VALUE 50 %</t>
  </si>
  <si>
    <t>ATTEINT LE</t>
  </si>
  <si>
    <t>COURS AU</t>
  </si>
  <si>
    <t>PLUE-VALUE</t>
  </si>
  <si>
    <t>NOMBRE</t>
  </si>
  <si>
    <t xml:space="preserve">COURS  </t>
  </si>
  <si>
    <t>JOUR SIGNAL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</si>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</sst>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b/>
      <sz val="18"/>
      <color rgb="FF000000"/>
      <name val="Liberation Sans"/>
      <family val="2"/>
    </font>
    <font>
      <b/>
      <sz val="12"/>
      <color rgb="FF000000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0"/>
      <color rgb="FF000000"/>
      <name val="Liberation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49" fontId="14" fillId="0" borderId="0" xfId="0" applyNumberFormat="1" applyFont="1"/>
    <xf numFmtId="14" fontId="14" fillId="0" borderId="0" xfId="0" applyNumberFormat="1" applyFont="1" applyAlignment="1">
      <alignment horizontal="center"/>
    </xf>
    <xf numFmtId="0" fontId="0" fillId="9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10" fontId="0" fillId="9" borderId="0" xfId="0" applyNumberFormat="1" applyFill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2" fontId="0" fillId="9" borderId="0" xfId="0" applyNumberFormat="1" applyFill="1" applyAlignment="1">
      <alignment horizontal="center"/>
    </xf>
  </cellXfs>
  <cellStyles count="19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yperlink" xfId="13" xr:uid="{00000000-0005-0000-0000-00000B000000}"/>
    <cellStyle name="Neutral" xfId="14" xr:uid="{00000000-0005-0000-0000-00000C000000}"/>
    <cellStyle name="Normal" xfId="0" builtinId="0" customBuiltin="1"/>
    <cellStyle name="Note" xfId="1" builtinId="10" customBuiltin="1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colors>
    <mruColors>
      <color rgb="FFCCFFCC"/>
      <color rgb="FF009600"/>
      <color rgb="FF99FFCC"/>
      <color rgb="FFCCFF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222D-3DD6-428B-8640-21A6F47AD1AA}">
  <dimension ref="A1:O277"/>
  <sheetViews>
    <sheetView tabSelected="1" topLeftCell="A211" workbookViewId="0">
      <selection activeCell="O277" sqref="O277"/>
    </sheetView>
  </sheetViews>
  <sheetFormatPr baseColWidth="10" defaultRowHeight="12.5" x14ac:dyDescent="0.25"/>
  <cols>
    <col min="1" max="1" width="34.90625" style="2" bestFit="1" customWidth="1"/>
    <col min="2" max="2" width="9.90625" style="2" bestFit="1" customWidth="1"/>
    <col min="3" max="3" width="10.90625" style="3" bestFit="1" customWidth="1"/>
    <col min="4" max="4" width="15" style="12" bestFit="1" customWidth="1"/>
    <col min="5" max="5" width="9.90625" style="5" bestFit="1" customWidth="1"/>
    <col min="6" max="6" width="8.36328125" style="4" bestFit="1" customWidth="1"/>
    <col min="7" max="7" width="10.54296875" style="5" bestFit="1" customWidth="1"/>
    <col min="8" max="8" width="10.54296875" style="1" bestFit="1" customWidth="1"/>
    <col min="9" max="9" width="11.7265625" style="12" bestFit="1" customWidth="1"/>
    <col min="10" max="10" width="9.1796875" style="1" bestFit="1" customWidth="1"/>
    <col min="11" max="11" width="11.7265625" style="13" bestFit="1" customWidth="1"/>
    <col min="12" max="12" width="9.36328125" style="4" bestFit="1" customWidth="1"/>
    <col min="13" max="13" width="10.90625" style="3" bestFit="1" customWidth="1"/>
    <col min="14" max="14" width="9.81640625" style="1" bestFit="1" customWidth="1"/>
    <col min="15" max="15" width="11.7265625" style="13" bestFit="1" customWidth="1"/>
  </cols>
  <sheetData>
    <row r="1" spans="1:15" x14ac:dyDescent="0.25">
      <c r="L1" s="14" t="s">
        <v>555</v>
      </c>
      <c r="M1" s="14"/>
      <c r="N1" s="14"/>
      <c r="O1" s="11"/>
    </row>
    <row r="2" spans="1:15" x14ac:dyDescent="0.25">
      <c r="A2" s="2" t="s">
        <v>543</v>
      </c>
      <c r="B2" s="2" t="s">
        <v>544</v>
      </c>
      <c r="C2" s="3" t="s">
        <v>549</v>
      </c>
      <c r="D2" s="13" t="s">
        <v>546</v>
      </c>
      <c r="E2" s="3" t="s">
        <v>553</v>
      </c>
      <c r="F2" s="4" t="s">
        <v>560</v>
      </c>
      <c r="G2" s="3" t="s">
        <v>549</v>
      </c>
      <c r="H2" s="1" t="s">
        <v>557</v>
      </c>
      <c r="I2" s="13" t="s">
        <v>558</v>
      </c>
      <c r="J2" s="1" t="s">
        <v>552</v>
      </c>
      <c r="K2" s="13" t="s">
        <v>558</v>
      </c>
      <c r="L2" s="10" t="s">
        <v>550</v>
      </c>
      <c r="M2" s="9" t="s">
        <v>556</v>
      </c>
      <c r="N2" s="10" t="s">
        <v>559</v>
      </c>
      <c r="O2" s="11" t="s">
        <v>558</v>
      </c>
    </row>
    <row r="3" spans="1:15" x14ac:dyDescent="0.25">
      <c r="C3" s="3" t="s">
        <v>545</v>
      </c>
      <c r="D3" s="13" t="s">
        <v>561</v>
      </c>
      <c r="E3" s="3" t="s">
        <v>547</v>
      </c>
      <c r="F3" s="4" t="s">
        <v>547</v>
      </c>
      <c r="G3" s="3" t="s">
        <v>548</v>
      </c>
      <c r="H3" s="1" t="s">
        <v>548</v>
      </c>
      <c r="I3" s="13"/>
      <c r="J3" s="1" t="s">
        <v>554</v>
      </c>
      <c r="K3" s="13" t="s">
        <v>562</v>
      </c>
      <c r="L3" s="10"/>
      <c r="M3" s="9"/>
      <c r="N3" s="8" t="s">
        <v>551</v>
      </c>
      <c r="O3" s="11" t="s">
        <v>562</v>
      </c>
    </row>
    <row r="4" spans="1:15" x14ac:dyDescent="0.25">
      <c r="A4" s="2" t="s">
        <v>430</v>
      </c>
      <c r="B4" s="2" t="s">
        <v>431</v>
      </c>
      <c r="C4" s="3">
        <v>43836</v>
      </c>
      <c r="D4" s="12">
        <v>4.8000000000000001E-2</v>
      </c>
      <c r="E4" s="5">
        <v>43837</v>
      </c>
      <c r="F4" s="4">
        <v>86.97</v>
      </c>
      <c r="G4" s="5">
        <v>44047</v>
      </c>
      <c r="H4" s="1">
        <v>253</v>
      </c>
      <c r="I4" s="12">
        <f t="shared" ref="I4:I67" si="0">H4/F4-1</f>
        <v>1.9090490973899046</v>
      </c>
      <c r="J4" s="1">
        <f t="shared" ref="J4:J67" si="1">G4-E4</f>
        <v>210</v>
      </c>
      <c r="K4" s="13">
        <f t="shared" ref="K4:K67" si="2">I4/J4</f>
        <v>9.0907099875709736E-3</v>
      </c>
      <c r="L4" s="4">
        <f t="shared" ref="L4:L67" si="3">F4*1.5</f>
        <v>130.45499999999998</v>
      </c>
      <c r="M4" s="3">
        <v>43888</v>
      </c>
      <c r="N4" s="1">
        <f t="shared" ref="N4:N67" si="4">M4-E4+1</f>
        <v>52</v>
      </c>
      <c r="O4" s="13">
        <f t="shared" ref="O4:O67" si="5">50/100/N4</f>
        <v>9.6153846153846159E-3</v>
      </c>
    </row>
    <row r="5" spans="1:15" x14ac:dyDescent="0.25">
      <c r="A5" s="2" t="s">
        <v>330</v>
      </c>
      <c r="B5" s="2" t="s">
        <v>331</v>
      </c>
      <c r="C5" s="3">
        <v>43860</v>
      </c>
      <c r="D5" s="12">
        <v>0.33729999999999999</v>
      </c>
      <c r="E5" s="5">
        <v>43861</v>
      </c>
      <c r="F5" s="4">
        <v>0.35599999999999998</v>
      </c>
      <c r="G5" s="5">
        <v>43930</v>
      </c>
      <c r="H5" s="1">
        <v>5.98</v>
      </c>
      <c r="I5" s="12">
        <f t="shared" si="0"/>
        <v>15.797752808988765</v>
      </c>
      <c r="J5" s="1">
        <f t="shared" si="1"/>
        <v>69</v>
      </c>
      <c r="K5" s="13">
        <f t="shared" si="2"/>
        <v>0.22895293926070673</v>
      </c>
      <c r="L5" s="4">
        <f t="shared" si="3"/>
        <v>0.53400000000000003</v>
      </c>
      <c r="M5" s="3">
        <v>43861</v>
      </c>
      <c r="N5" s="1">
        <f t="shared" si="4"/>
        <v>1</v>
      </c>
      <c r="O5" s="13">
        <f t="shared" si="5"/>
        <v>0.5</v>
      </c>
    </row>
    <row r="6" spans="1:15" x14ac:dyDescent="0.25">
      <c r="A6" s="2" t="s">
        <v>489</v>
      </c>
      <c r="B6" s="2" t="s">
        <v>490</v>
      </c>
      <c r="C6" s="3">
        <v>43864</v>
      </c>
      <c r="D6" s="12">
        <v>0.1489</v>
      </c>
      <c r="E6" s="5">
        <v>43865</v>
      </c>
      <c r="F6" s="4">
        <v>91.04</v>
      </c>
      <c r="G6" s="5">
        <v>44123</v>
      </c>
      <c r="H6" s="1">
        <v>588.84</v>
      </c>
      <c r="I6" s="12">
        <f t="shared" si="0"/>
        <v>5.4679261862917397</v>
      </c>
      <c r="J6" s="1">
        <f t="shared" si="1"/>
        <v>258</v>
      </c>
      <c r="K6" s="13">
        <f t="shared" si="2"/>
        <v>2.1193512349967983E-2</v>
      </c>
      <c r="L6" s="4">
        <f t="shared" si="3"/>
        <v>136.56</v>
      </c>
      <c r="M6" s="3">
        <v>43913</v>
      </c>
      <c r="N6" s="1">
        <f t="shared" si="4"/>
        <v>49</v>
      </c>
      <c r="O6" s="13">
        <f t="shared" si="5"/>
        <v>1.020408163265306E-2</v>
      </c>
    </row>
    <row r="7" spans="1:15" x14ac:dyDescent="0.25">
      <c r="A7" s="2" t="s">
        <v>119</v>
      </c>
      <c r="B7" s="2" t="s">
        <v>120</v>
      </c>
      <c r="C7" s="3">
        <v>43885</v>
      </c>
      <c r="D7" s="12">
        <v>0.28849999999999998</v>
      </c>
      <c r="E7" s="5">
        <v>43886</v>
      </c>
      <c r="F7" s="4">
        <v>3.9</v>
      </c>
      <c r="G7" s="5">
        <v>43965</v>
      </c>
      <c r="H7" s="1">
        <v>29.72</v>
      </c>
      <c r="I7" s="12">
        <f t="shared" si="0"/>
        <v>6.6205128205128201</v>
      </c>
      <c r="J7" s="1">
        <f t="shared" si="1"/>
        <v>79</v>
      </c>
      <c r="K7" s="13">
        <f t="shared" si="2"/>
        <v>8.3803959753326843E-2</v>
      </c>
      <c r="L7" s="4">
        <f t="shared" si="3"/>
        <v>5.85</v>
      </c>
      <c r="M7" s="3">
        <v>43887</v>
      </c>
      <c r="N7" s="1">
        <f t="shared" si="4"/>
        <v>2</v>
      </c>
      <c r="O7" s="13">
        <f t="shared" si="5"/>
        <v>0.25</v>
      </c>
    </row>
    <row r="8" spans="1:15" x14ac:dyDescent="0.25">
      <c r="A8" s="2" t="s">
        <v>332</v>
      </c>
      <c r="B8" s="2" t="s">
        <v>333</v>
      </c>
      <c r="C8" s="3">
        <v>43887</v>
      </c>
      <c r="D8" s="12">
        <v>0.15970000000000001</v>
      </c>
      <c r="E8" s="5">
        <v>43888</v>
      </c>
      <c r="F8" s="4">
        <v>11.1</v>
      </c>
      <c r="G8" s="5">
        <v>44048</v>
      </c>
      <c r="H8" s="1">
        <v>189.4</v>
      </c>
      <c r="I8" s="12">
        <f t="shared" si="0"/>
        <v>16.063063063063066</v>
      </c>
      <c r="J8" s="1">
        <f t="shared" si="1"/>
        <v>160</v>
      </c>
      <c r="K8" s="13">
        <f t="shared" si="2"/>
        <v>0.10039414414414416</v>
      </c>
      <c r="L8" s="4">
        <f t="shared" si="3"/>
        <v>16.649999999999999</v>
      </c>
      <c r="M8" s="3">
        <v>43889</v>
      </c>
      <c r="N8" s="1">
        <f t="shared" si="4"/>
        <v>2</v>
      </c>
      <c r="O8" s="13">
        <f t="shared" si="5"/>
        <v>0.25</v>
      </c>
    </row>
    <row r="9" spans="1:15" x14ac:dyDescent="0.25">
      <c r="A9" s="2" t="s">
        <v>454</v>
      </c>
      <c r="B9" s="2" t="s">
        <v>455</v>
      </c>
      <c r="C9" s="3">
        <v>43944</v>
      </c>
      <c r="D9" s="12">
        <v>0.1071</v>
      </c>
      <c r="E9" s="5">
        <v>43945</v>
      </c>
      <c r="F9" s="4">
        <v>159.36000000000001</v>
      </c>
      <c r="G9" s="5">
        <v>44047</v>
      </c>
      <c r="H9" s="1">
        <v>435.36</v>
      </c>
      <c r="I9" s="12">
        <f t="shared" si="0"/>
        <v>1.7319277108433733</v>
      </c>
      <c r="J9" s="1">
        <f t="shared" si="1"/>
        <v>102</v>
      </c>
      <c r="K9" s="13">
        <f t="shared" si="2"/>
        <v>1.6979683439640913E-2</v>
      </c>
      <c r="L9" s="4">
        <f t="shared" si="3"/>
        <v>239.04000000000002</v>
      </c>
      <c r="M9" s="3">
        <v>43957</v>
      </c>
      <c r="N9" s="1">
        <f t="shared" si="4"/>
        <v>13</v>
      </c>
      <c r="O9" s="13">
        <f t="shared" si="5"/>
        <v>3.8461538461538464E-2</v>
      </c>
    </row>
    <row r="10" spans="1:15" x14ac:dyDescent="0.25">
      <c r="A10" s="2" t="s">
        <v>2</v>
      </c>
      <c r="B10" s="2" t="s">
        <v>3</v>
      </c>
      <c r="C10" s="3">
        <v>43949</v>
      </c>
      <c r="D10" s="12">
        <v>2.98E-2</v>
      </c>
      <c r="E10" s="5">
        <v>43950</v>
      </c>
      <c r="F10" s="4">
        <v>6.91</v>
      </c>
      <c r="G10" s="5">
        <v>44672</v>
      </c>
      <c r="H10" s="1">
        <v>37.31</v>
      </c>
      <c r="I10" s="12">
        <f t="shared" si="0"/>
        <v>4.3994211287988421</v>
      </c>
      <c r="J10" s="1">
        <f t="shared" si="1"/>
        <v>722</v>
      </c>
      <c r="K10" s="13">
        <f t="shared" si="2"/>
        <v>6.0933810648183409E-3</v>
      </c>
      <c r="L10" s="4">
        <f t="shared" si="3"/>
        <v>10.365</v>
      </c>
      <c r="M10" s="3">
        <v>44026</v>
      </c>
      <c r="N10" s="1">
        <f t="shared" si="4"/>
        <v>77</v>
      </c>
      <c r="O10" s="13">
        <f t="shared" si="5"/>
        <v>6.4935064935064939E-3</v>
      </c>
    </row>
    <row r="11" spans="1:15" x14ac:dyDescent="0.25">
      <c r="A11" s="2" t="s">
        <v>293</v>
      </c>
      <c r="B11" s="2" t="s">
        <v>294</v>
      </c>
      <c r="C11" s="3">
        <v>43956</v>
      </c>
      <c r="D11" s="12">
        <v>0.2167</v>
      </c>
      <c r="E11" s="5">
        <v>43957</v>
      </c>
      <c r="F11" s="4">
        <v>2.23</v>
      </c>
      <c r="G11" s="5">
        <v>44068</v>
      </c>
      <c r="H11" s="1">
        <v>11.69</v>
      </c>
      <c r="I11" s="12">
        <f t="shared" si="0"/>
        <v>4.2421524663677133</v>
      </c>
      <c r="J11" s="1">
        <f t="shared" si="1"/>
        <v>111</v>
      </c>
      <c r="K11" s="13">
        <f t="shared" si="2"/>
        <v>3.8217589787096516E-2</v>
      </c>
      <c r="L11" s="4">
        <f t="shared" si="3"/>
        <v>3.3449999999999998</v>
      </c>
      <c r="M11" s="3">
        <v>43999</v>
      </c>
      <c r="N11" s="1">
        <f t="shared" si="4"/>
        <v>43</v>
      </c>
      <c r="O11" s="13">
        <f t="shared" si="5"/>
        <v>1.1627906976744186E-2</v>
      </c>
    </row>
    <row r="12" spans="1:15" x14ac:dyDescent="0.25">
      <c r="A12" s="2" t="s">
        <v>54</v>
      </c>
      <c r="B12" s="2" t="s">
        <v>55</v>
      </c>
      <c r="C12" s="3">
        <v>43956</v>
      </c>
      <c r="D12" s="12">
        <v>0.15540000000000001</v>
      </c>
      <c r="E12" s="5">
        <v>43957</v>
      </c>
      <c r="F12" s="4">
        <v>67.7</v>
      </c>
      <c r="G12" s="5">
        <v>44032</v>
      </c>
      <c r="H12" s="1">
        <v>149</v>
      </c>
      <c r="I12" s="12">
        <f t="shared" si="0"/>
        <v>1.2008862629246675</v>
      </c>
      <c r="J12" s="1">
        <f t="shared" si="1"/>
        <v>75</v>
      </c>
      <c r="K12" s="13">
        <f t="shared" si="2"/>
        <v>1.6011816838995566E-2</v>
      </c>
      <c r="L12" s="4">
        <f t="shared" si="3"/>
        <v>101.55000000000001</v>
      </c>
      <c r="M12" s="3">
        <v>43966</v>
      </c>
      <c r="N12" s="1">
        <f t="shared" si="4"/>
        <v>10</v>
      </c>
      <c r="O12" s="13">
        <f t="shared" si="5"/>
        <v>0.05</v>
      </c>
    </row>
    <row r="13" spans="1:15" x14ac:dyDescent="0.25">
      <c r="A13" s="2" t="s">
        <v>177</v>
      </c>
      <c r="B13" s="2" t="s">
        <v>536</v>
      </c>
      <c r="C13" s="3">
        <v>43957</v>
      </c>
      <c r="D13" s="12">
        <v>4.4900000000000002E-2</v>
      </c>
      <c r="E13" s="5">
        <v>43958</v>
      </c>
      <c r="F13" s="4">
        <v>14.41</v>
      </c>
      <c r="G13" s="5">
        <v>44246</v>
      </c>
      <c r="H13" s="1">
        <v>73.87</v>
      </c>
      <c r="I13" s="12">
        <f t="shared" si="0"/>
        <v>4.1263011797362941</v>
      </c>
      <c r="J13" s="1">
        <f t="shared" si="1"/>
        <v>288</v>
      </c>
      <c r="K13" s="13">
        <f t="shared" si="2"/>
        <v>1.4327434651862132E-2</v>
      </c>
      <c r="L13" s="4">
        <f t="shared" si="3"/>
        <v>21.615000000000002</v>
      </c>
      <c r="M13" s="3">
        <v>44021</v>
      </c>
      <c r="N13" s="1">
        <f t="shared" si="4"/>
        <v>64</v>
      </c>
      <c r="O13" s="13">
        <f t="shared" si="5"/>
        <v>7.8125E-3</v>
      </c>
    </row>
    <row r="14" spans="1:15" x14ac:dyDescent="0.25">
      <c r="A14" s="2" t="s">
        <v>303</v>
      </c>
      <c r="B14" s="2" t="s">
        <v>304</v>
      </c>
      <c r="C14" s="3">
        <v>43957</v>
      </c>
      <c r="D14" s="12">
        <v>0.19639999999999999</v>
      </c>
      <c r="E14" s="5">
        <v>43958</v>
      </c>
      <c r="F14" s="4">
        <v>750</v>
      </c>
      <c r="G14" s="5">
        <v>44217</v>
      </c>
      <c r="H14" s="1">
        <v>2020</v>
      </c>
      <c r="I14" s="12">
        <f t="shared" si="0"/>
        <v>1.6933333333333334</v>
      </c>
      <c r="J14" s="1">
        <f t="shared" si="1"/>
        <v>259</v>
      </c>
      <c r="K14" s="13">
        <f t="shared" si="2"/>
        <v>6.5379665379665377E-3</v>
      </c>
      <c r="L14" s="4">
        <f t="shared" si="3"/>
        <v>1125</v>
      </c>
      <c r="M14" s="3">
        <v>44042</v>
      </c>
      <c r="N14" s="1">
        <f t="shared" si="4"/>
        <v>85</v>
      </c>
      <c r="O14" s="13">
        <f t="shared" si="5"/>
        <v>5.8823529411764705E-3</v>
      </c>
    </row>
    <row r="15" spans="1:15" x14ac:dyDescent="0.25">
      <c r="A15" s="2" t="s">
        <v>388</v>
      </c>
      <c r="B15" s="2" t="s">
        <v>389</v>
      </c>
      <c r="C15" s="3">
        <v>43957</v>
      </c>
      <c r="D15" s="12">
        <v>6.4899999999999999E-2</v>
      </c>
      <c r="E15" s="5">
        <v>43958</v>
      </c>
      <c r="F15" s="4">
        <v>62.08</v>
      </c>
      <c r="G15" s="5">
        <v>44243</v>
      </c>
      <c r="H15" s="1">
        <v>285</v>
      </c>
      <c r="I15" s="12">
        <f t="shared" si="0"/>
        <v>3.5908505154639174</v>
      </c>
      <c r="J15" s="1">
        <f t="shared" si="1"/>
        <v>285</v>
      </c>
      <c r="K15" s="13">
        <f t="shared" si="2"/>
        <v>1.259947549285585E-2</v>
      </c>
      <c r="L15" s="4">
        <f t="shared" si="3"/>
        <v>93.12</v>
      </c>
      <c r="M15" s="3">
        <v>43990</v>
      </c>
      <c r="N15" s="1">
        <f t="shared" si="4"/>
        <v>33</v>
      </c>
      <c r="O15" s="13">
        <f t="shared" si="5"/>
        <v>1.5151515151515152E-2</v>
      </c>
    </row>
    <row r="16" spans="1:15" x14ac:dyDescent="0.25">
      <c r="A16" s="2" t="s">
        <v>479</v>
      </c>
      <c r="B16" s="2" t="s">
        <v>480</v>
      </c>
      <c r="C16" s="3">
        <v>43957</v>
      </c>
      <c r="D16" s="12">
        <v>8.5900000000000004E-2</v>
      </c>
      <c r="E16" s="5">
        <v>43958</v>
      </c>
      <c r="F16" s="4">
        <v>146</v>
      </c>
      <c r="G16" s="5">
        <v>44049</v>
      </c>
      <c r="H16" s="1">
        <v>319.33999999999997</v>
      </c>
      <c r="I16" s="12">
        <f t="shared" si="0"/>
        <v>1.1872602739726026</v>
      </c>
      <c r="J16" s="1">
        <f t="shared" si="1"/>
        <v>91</v>
      </c>
      <c r="K16" s="13">
        <f t="shared" si="2"/>
        <v>1.3046816197501128E-2</v>
      </c>
      <c r="L16" s="4">
        <f t="shared" si="3"/>
        <v>219</v>
      </c>
      <c r="M16" s="3">
        <v>43977</v>
      </c>
      <c r="N16" s="1">
        <f t="shared" si="4"/>
        <v>20</v>
      </c>
      <c r="O16" s="13">
        <f t="shared" si="5"/>
        <v>2.5000000000000001E-2</v>
      </c>
    </row>
    <row r="17" spans="1:15" x14ac:dyDescent="0.25">
      <c r="A17" s="2" t="s">
        <v>178</v>
      </c>
      <c r="B17" s="2" t="s">
        <v>179</v>
      </c>
      <c r="C17" s="3">
        <v>43958</v>
      </c>
      <c r="D17" s="12">
        <v>0.45679999999999998</v>
      </c>
      <c r="E17" s="5">
        <v>43959</v>
      </c>
      <c r="F17" s="4">
        <v>32.14</v>
      </c>
      <c r="G17" s="5">
        <v>44117</v>
      </c>
      <c r="H17" s="1">
        <v>136.5</v>
      </c>
      <c r="I17" s="12">
        <f t="shared" si="0"/>
        <v>3.2470441817050402</v>
      </c>
      <c r="J17" s="1">
        <f t="shared" si="1"/>
        <v>158</v>
      </c>
      <c r="K17" s="13">
        <f t="shared" si="2"/>
        <v>2.0550912542436964E-2</v>
      </c>
      <c r="L17" s="4">
        <f t="shared" si="3"/>
        <v>48.21</v>
      </c>
      <c r="M17" s="3">
        <v>43990</v>
      </c>
      <c r="N17" s="1">
        <f t="shared" si="4"/>
        <v>32</v>
      </c>
      <c r="O17" s="13">
        <f t="shared" si="5"/>
        <v>1.5625E-2</v>
      </c>
    </row>
    <row r="18" spans="1:15" x14ac:dyDescent="0.25">
      <c r="A18" s="2" t="s">
        <v>350</v>
      </c>
      <c r="B18" s="2" t="s">
        <v>351</v>
      </c>
      <c r="C18" s="3">
        <v>43959</v>
      </c>
      <c r="D18" s="12">
        <v>9.0899999999999995E-2</v>
      </c>
      <c r="E18" s="5">
        <v>43962</v>
      </c>
      <c r="F18" s="4">
        <v>54.43</v>
      </c>
      <c r="G18" s="5">
        <v>44243</v>
      </c>
      <c r="H18" s="1">
        <v>212.6</v>
      </c>
      <c r="I18" s="12">
        <f t="shared" si="0"/>
        <v>2.9059342274480984</v>
      </c>
      <c r="J18" s="1">
        <f t="shared" si="1"/>
        <v>281</v>
      </c>
      <c r="K18" s="13">
        <f t="shared" si="2"/>
        <v>1.0341402944655154E-2</v>
      </c>
      <c r="L18" s="4">
        <f t="shared" si="3"/>
        <v>81.644999999999996</v>
      </c>
      <c r="M18" s="3">
        <v>43998</v>
      </c>
      <c r="N18" s="1">
        <f t="shared" si="4"/>
        <v>37</v>
      </c>
      <c r="O18" s="13">
        <f t="shared" si="5"/>
        <v>1.3513513513513514E-2</v>
      </c>
    </row>
    <row r="19" spans="1:15" x14ac:dyDescent="0.25">
      <c r="A19" s="2" t="s">
        <v>19</v>
      </c>
      <c r="B19" s="2" t="s">
        <v>20</v>
      </c>
      <c r="C19" s="3">
        <v>43963</v>
      </c>
      <c r="D19" s="12">
        <v>0.17460000000000001</v>
      </c>
      <c r="E19" s="5">
        <v>43964</v>
      </c>
      <c r="F19" s="4">
        <v>3.75</v>
      </c>
      <c r="G19" s="5">
        <v>44032</v>
      </c>
      <c r="H19" s="1">
        <v>35.1</v>
      </c>
      <c r="I19" s="12">
        <f t="shared" si="0"/>
        <v>8.3600000000000012</v>
      </c>
      <c r="J19" s="1">
        <f t="shared" si="1"/>
        <v>68</v>
      </c>
      <c r="K19" s="13">
        <f t="shared" si="2"/>
        <v>0.12294117647058825</v>
      </c>
      <c r="L19" s="4">
        <f t="shared" si="3"/>
        <v>5.625</v>
      </c>
      <c r="M19" s="3">
        <v>43965</v>
      </c>
      <c r="N19" s="1">
        <f t="shared" si="4"/>
        <v>2</v>
      </c>
      <c r="O19" s="13">
        <f t="shared" si="5"/>
        <v>0.25</v>
      </c>
    </row>
    <row r="20" spans="1:15" x14ac:dyDescent="0.25">
      <c r="A20" s="2" t="s">
        <v>117</v>
      </c>
      <c r="B20" s="2" t="s">
        <v>118</v>
      </c>
      <c r="C20" s="3">
        <v>43963</v>
      </c>
      <c r="D20" s="12">
        <v>3.9399999999999998E-2</v>
      </c>
      <c r="E20" s="5">
        <v>43964</v>
      </c>
      <c r="F20" s="4">
        <v>4.24</v>
      </c>
      <c r="G20" s="5">
        <v>44300</v>
      </c>
      <c r="H20" s="1">
        <v>37.229999999999997</v>
      </c>
      <c r="I20" s="12">
        <f t="shared" si="0"/>
        <v>7.7806603773584886</v>
      </c>
      <c r="J20" s="1">
        <f t="shared" si="1"/>
        <v>336</v>
      </c>
      <c r="K20" s="13">
        <f t="shared" si="2"/>
        <v>2.3156727313566931E-2</v>
      </c>
      <c r="L20" s="4">
        <f t="shared" si="3"/>
        <v>6.36</v>
      </c>
      <c r="M20" s="3">
        <v>44008</v>
      </c>
      <c r="N20" s="1">
        <f t="shared" si="4"/>
        <v>45</v>
      </c>
      <c r="O20" s="13">
        <f t="shared" si="5"/>
        <v>1.1111111111111112E-2</v>
      </c>
    </row>
    <row r="21" spans="1:15" x14ac:dyDescent="0.25">
      <c r="A21" s="2" t="s">
        <v>95</v>
      </c>
      <c r="B21" s="2" t="s">
        <v>96</v>
      </c>
      <c r="C21" s="3">
        <v>43969</v>
      </c>
      <c r="D21" s="12">
        <v>0.02</v>
      </c>
      <c r="E21" s="5">
        <v>43970</v>
      </c>
      <c r="F21" s="4">
        <v>14.94</v>
      </c>
      <c r="G21" s="5">
        <v>44242</v>
      </c>
      <c r="H21" s="1">
        <v>61.8</v>
      </c>
      <c r="I21" s="12">
        <f t="shared" si="0"/>
        <v>3.1365461847389557</v>
      </c>
      <c r="J21" s="1">
        <f t="shared" si="1"/>
        <v>272</v>
      </c>
      <c r="K21" s="13">
        <f t="shared" si="2"/>
        <v>1.1531419796834396E-2</v>
      </c>
      <c r="L21" s="4">
        <f t="shared" si="3"/>
        <v>22.41</v>
      </c>
      <c r="M21" s="3">
        <v>44021</v>
      </c>
      <c r="N21" s="1">
        <f t="shared" si="4"/>
        <v>52</v>
      </c>
      <c r="O21" s="13">
        <f t="shared" si="5"/>
        <v>9.6153846153846159E-3</v>
      </c>
    </row>
    <row r="22" spans="1:15" x14ac:dyDescent="0.25">
      <c r="A22" s="2" t="s">
        <v>221</v>
      </c>
      <c r="B22" s="2" t="s">
        <v>222</v>
      </c>
      <c r="C22" s="3">
        <v>43969</v>
      </c>
      <c r="D22" s="12">
        <v>5.5899999999999998E-2</v>
      </c>
      <c r="E22" s="5">
        <v>43970</v>
      </c>
      <c r="F22" s="4">
        <v>11</v>
      </c>
      <c r="G22" s="5">
        <v>44238</v>
      </c>
      <c r="H22" s="1">
        <v>54.1</v>
      </c>
      <c r="I22" s="12">
        <f t="shared" si="0"/>
        <v>3.918181818181818</v>
      </c>
      <c r="J22" s="1">
        <f t="shared" si="1"/>
        <v>268</v>
      </c>
      <c r="K22" s="13">
        <f t="shared" si="2"/>
        <v>1.4620081411126187E-2</v>
      </c>
      <c r="L22" s="4">
        <f t="shared" si="3"/>
        <v>16.5</v>
      </c>
      <c r="M22" s="3">
        <v>44001</v>
      </c>
      <c r="N22" s="1">
        <f t="shared" si="4"/>
        <v>32</v>
      </c>
      <c r="O22" s="13">
        <f t="shared" si="5"/>
        <v>1.5625E-2</v>
      </c>
    </row>
    <row r="23" spans="1:15" x14ac:dyDescent="0.25">
      <c r="A23" s="2" t="s">
        <v>243</v>
      </c>
      <c r="B23" s="2" t="s">
        <v>244</v>
      </c>
      <c r="C23" s="3">
        <v>43969</v>
      </c>
      <c r="D23" s="12">
        <v>5.2200000000000003E-2</v>
      </c>
      <c r="E23" s="5">
        <v>43970</v>
      </c>
      <c r="F23" s="4">
        <v>1.41</v>
      </c>
      <c r="G23" s="5">
        <v>43999</v>
      </c>
      <c r="H23" s="1">
        <v>6.5</v>
      </c>
      <c r="I23" s="12">
        <f t="shared" si="0"/>
        <v>3.6099290780141846</v>
      </c>
      <c r="J23" s="1">
        <f t="shared" si="1"/>
        <v>29</v>
      </c>
      <c r="K23" s="13">
        <f t="shared" si="2"/>
        <v>0.12448031303497188</v>
      </c>
      <c r="L23" s="4">
        <f t="shared" si="3"/>
        <v>2.1149999999999998</v>
      </c>
      <c r="M23" s="3">
        <v>43972</v>
      </c>
      <c r="N23" s="1">
        <f t="shared" si="4"/>
        <v>3</v>
      </c>
      <c r="O23" s="13">
        <f t="shared" si="5"/>
        <v>0.16666666666666666</v>
      </c>
    </row>
    <row r="24" spans="1:15" x14ac:dyDescent="0.25">
      <c r="A24" s="2" t="s">
        <v>269</v>
      </c>
      <c r="B24" s="2" t="s">
        <v>270</v>
      </c>
      <c r="C24" s="3">
        <v>43970</v>
      </c>
      <c r="D24" s="12">
        <v>0.24610000000000001</v>
      </c>
      <c r="E24" s="5">
        <v>43971</v>
      </c>
      <c r="F24" s="4">
        <v>1.03</v>
      </c>
      <c r="G24" s="5">
        <v>44315</v>
      </c>
      <c r="H24" s="1">
        <v>34.450000000000003</v>
      </c>
      <c r="I24" s="12">
        <f t="shared" si="0"/>
        <v>32.446601941747574</v>
      </c>
      <c r="J24" s="1">
        <f t="shared" si="1"/>
        <v>344</v>
      </c>
      <c r="K24" s="13">
        <f t="shared" si="2"/>
        <v>9.4321517272522012E-2</v>
      </c>
      <c r="L24" s="4">
        <f t="shared" si="3"/>
        <v>1.5449999999999999</v>
      </c>
      <c r="M24" s="3">
        <v>43990</v>
      </c>
      <c r="N24" s="1">
        <f t="shared" si="4"/>
        <v>20</v>
      </c>
      <c r="O24" s="13">
        <f t="shared" si="5"/>
        <v>2.5000000000000001E-2</v>
      </c>
    </row>
    <row r="25" spans="1:15" x14ac:dyDescent="0.25">
      <c r="A25" s="2" t="s">
        <v>324</v>
      </c>
      <c r="B25" s="2" t="s">
        <v>325</v>
      </c>
      <c r="C25" s="3">
        <v>43970</v>
      </c>
      <c r="D25" s="12">
        <v>0.13730000000000001</v>
      </c>
      <c r="E25" s="5">
        <v>43971</v>
      </c>
      <c r="F25" s="4">
        <v>10.32</v>
      </c>
      <c r="G25" s="5">
        <v>44221</v>
      </c>
      <c r="H25" s="1">
        <v>53</v>
      </c>
      <c r="I25" s="12">
        <f t="shared" si="0"/>
        <v>4.1356589147286824</v>
      </c>
      <c r="J25" s="1">
        <f t="shared" si="1"/>
        <v>250</v>
      </c>
      <c r="K25" s="13">
        <f t="shared" si="2"/>
        <v>1.6542635658914728E-2</v>
      </c>
      <c r="L25" s="4">
        <f t="shared" si="3"/>
        <v>15.48</v>
      </c>
      <c r="M25" s="3">
        <v>44001</v>
      </c>
      <c r="N25" s="1">
        <f t="shared" si="4"/>
        <v>31</v>
      </c>
      <c r="O25" s="13">
        <f t="shared" si="5"/>
        <v>1.6129032258064516E-2</v>
      </c>
    </row>
    <row r="26" spans="1:15" x14ac:dyDescent="0.25">
      <c r="A26" s="2" t="s">
        <v>231</v>
      </c>
      <c r="B26" s="2" t="s">
        <v>232</v>
      </c>
      <c r="C26" s="3">
        <v>43973</v>
      </c>
      <c r="D26" s="12">
        <v>0.15890000000000001</v>
      </c>
      <c r="E26" s="5">
        <v>43977</v>
      </c>
      <c r="F26" s="4">
        <v>1.3</v>
      </c>
      <c r="G26" s="5">
        <v>44071</v>
      </c>
      <c r="H26" s="1">
        <v>4.2</v>
      </c>
      <c r="I26" s="12">
        <f t="shared" si="0"/>
        <v>2.2307692307692308</v>
      </c>
      <c r="J26" s="1">
        <f t="shared" si="1"/>
        <v>94</v>
      </c>
      <c r="K26" s="13">
        <f t="shared" si="2"/>
        <v>2.3731587561374796E-2</v>
      </c>
      <c r="L26" s="4">
        <f t="shared" si="3"/>
        <v>1.9500000000000002</v>
      </c>
      <c r="M26" s="3">
        <v>44005</v>
      </c>
      <c r="N26" s="1">
        <f t="shared" si="4"/>
        <v>29</v>
      </c>
      <c r="O26" s="13">
        <f t="shared" si="5"/>
        <v>1.7241379310344827E-2</v>
      </c>
    </row>
    <row r="27" spans="1:15" x14ac:dyDescent="0.25">
      <c r="A27" s="2" t="s">
        <v>301</v>
      </c>
      <c r="B27" s="2" t="s">
        <v>302</v>
      </c>
      <c r="C27" s="3">
        <v>43973</v>
      </c>
      <c r="D27" s="12">
        <v>0.08</v>
      </c>
      <c r="E27" s="5">
        <v>43976</v>
      </c>
      <c r="F27" s="4">
        <v>2.97</v>
      </c>
      <c r="G27" s="5">
        <v>44491</v>
      </c>
      <c r="H27" s="1">
        <v>18.32</v>
      </c>
      <c r="I27" s="12">
        <f t="shared" si="0"/>
        <v>5.1683501683501678</v>
      </c>
      <c r="J27" s="1">
        <f t="shared" si="1"/>
        <v>515</v>
      </c>
      <c r="K27" s="13">
        <f t="shared" si="2"/>
        <v>1.0035631394854696E-2</v>
      </c>
      <c r="L27" s="4">
        <f t="shared" si="3"/>
        <v>4.4550000000000001</v>
      </c>
      <c r="M27" s="3">
        <v>43992</v>
      </c>
      <c r="N27" s="1">
        <f t="shared" si="4"/>
        <v>17</v>
      </c>
      <c r="O27" s="13">
        <f t="shared" si="5"/>
        <v>2.9411764705882353E-2</v>
      </c>
    </row>
    <row r="28" spans="1:15" x14ac:dyDescent="0.25">
      <c r="A28" s="2" t="s">
        <v>87</v>
      </c>
      <c r="B28" s="2" t="s">
        <v>88</v>
      </c>
      <c r="C28" s="3">
        <v>43978</v>
      </c>
      <c r="D28" s="12">
        <v>5.4600000000000003E-2</v>
      </c>
      <c r="E28" s="5">
        <v>43979</v>
      </c>
      <c r="F28" s="4">
        <v>13.5</v>
      </c>
      <c r="G28" s="5">
        <v>44561</v>
      </c>
      <c r="H28" s="1">
        <v>80.95</v>
      </c>
      <c r="I28" s="12">
        <f t="shared" si="0"/>
        <v>4.9962962962962969</v>
      </c>
      <c r="J28" s="1">
        <f t="shared" si="1"/>
        <v>582</v>
      </c>
      <c r="K28" s="13">
        <f t="shared" si="2"/>
        <v>8.5847015400280016E-3</v>
      </c>
      <c r="L28" s="4">
        <f t="shared" si="3"/>
        <v>20.25</v>
      </c>
      <c r="M28" s="3">
        <v>44035</v>
      </c>
      <c r="N28" s="1">
        <f t="shared" si="4"/>
        <v>57</v>
      </c>
      <c r="O28" s="13">
        <f t="shared" si="5"/>
        <v>8.771929824561403E-3</v>
      </c>
    </row>
    <row r="29" spans="1:15" x14ac:dyDescent="0.25">
      <c r="A29" s="2" t="s">
        <v>143</v>
      </c>
      <c r="B29" s="2" t="s">
        <v>144</v>
      </c>
      <c r="C29" s="3">
        <v>43978</v>
      </c>
      <c r="D29" s="12">
        <v>2.29E-2</v>
      </c>
      <c r="E29" s="5">
        <v>44046</v>
      </c>
      <c r="F29" s="4">
        <v>14.15</v>
      </c>
      <c r="G29" s="5">
        <v>44257</v>
      </c>
      <c r="H29" s="1">
        <v>102.56</v>
      </c>
      <c r="I29" s="12">
        <f t="shared" si="0"/>
        <v>6.2480565371024737</v>
      </c>
      <c r="J29" s="1">
        <f t="shared" si="1"/>
        <v>211</v>
      </c>
      <c r="K29" s="13">
        <f t="shared" si="2"/>
        <v>2.9611642355935896E-2</v>
      </c>
      <c r="L29" s="4">
        <f t="shared" si="3"/>
        <v>21.225000000000001</v>
      </c>
      <c r="M29" s="3">
        <v>44052</v>
      </c>
      <c r="N29" s="1">
        <f t="shared" si="4"/>
        <v>7</v>
      </c>
      <c r="O29" s="13">
        <f t="shared" si="5"/>
        <v>7.1428571428571425E-2</v>
      </c>
    </row>
    <row r="30" spans="1:15" x14ac:dyDescent="0.25">
      <c r="A30" s="2" t="s">
        <v>261</v>
      </c>
      <c r="B30" s="2" t="s">
        <v>262</v>
      </c>
      <c r="C30" s="3">
        <v>43979</v>
      </c>
      <c r="D30" s="12">
        <v>1.4167000000000001</v>
      </c>
      <c r="E30" s="5">
        <v>43980</v>
      </c>
      <c r="F30" s="4">
        <v>1.98</v>
      </c>
      <c r="G30" s="5">
        <v>44036</v>
      </c>
      <c r="H30" s="1">
        <v>13.08</v>
      </c>
      <c r="I30" s="12">
        <f t="shared" si="0"/>
        <v>5.6060606060606064</v>
      </c>
      <c r="J30" s="1">
        <f t="shared" si="1"/>
        <v>56</v>
      </c>
      <c r="K30" s="13">
        <f t="shared" si="2"/>
        <v>0.10010822510822512</v>
      </c>
      <c r="L30" s="4">
        <f t="shared" si="3"/>
        <v>2.9699999999999998</v>
      </c>
      <c r="M30" s="3">
        <v>43990</v>
      </c>
      <c r="N30" s="1">
        <f t="shared" si="4"/>
        <v>11</v>
      </c>
      <c r="O30" s="13">
        <f t="shared" si="5"/>
        <v>4.5454545454545456E-2</v>
      </c>
    </row>
    <row r="31" spans="1:15" x14ac:dyDescent="0.25">
      <c r="A31" s="2" t="s">
        <v>215</v>
      </c>
      <c r="B31" s="2" t="s">
        <v>216</v>
      </c>
      <c r="C31" s="3">
        <v>43980</v>
      </c>
      <c r="D31" s="12">
        <v>0.2135</v>
      </c>
      <c r="E31" s="5">
        <v>43980</v>
      </c>
      <c r="F31" s="4">
        <v>51</v>
      </c>
      <c r="G31" s="5">
        <v>44187</v>
      </c>
      <c r="H31" s="1">
        <v>239.9</v>
      </c>
      <c r="I31" s="12">
        <f t="shared" si="0"/>
        <v>3.7039215686274511</v>
      </c>
      <c r="J31" s="1">
        <f t="shared" si="1"/>
        <v>207</v>
      </c>
      <c r="K31" s="13">
        <f t="shared" si="2"/>
        <v>1.7893340911243727E-2</v>
      </c>
      <c r="L31" s="4">
        <f t="shared" si="3"/>
        <v>76.5</v>
      </c>
      <c r="M31" s="3">
        <v>44050</v>
      </c>
      <c r="N31" s="1">
        <f t="shared" si="4"/>
        <v>71</v>
      </c>
      <c r="O31" s="13">
        <f t="shared" si="5"/>
        <v>7.0422535211267607E-3</v>
      </c>
    </row>
    <row r="32" spans="1:15" x14ac:dyDescent="0.25">
      <c r="A32" s="2" t="s">
        <v>491</v>
      </c>
      <c r="B32" s="2" t="s">
        <v>492</v>
      </c>
      <c r="C32" s="3">
        <v>43980</v>
      </c>
      <c r="D32" s="12">
        <v>0.29409999999999997</v>
      </c>
      <c r="E32" s="5">
        <v>43983</v>
      </c>
      <c r="F32" s="4">
        <v>96.8</v>
      </c>
      <c r="G32" s="5">
        <v>44519</v>
      </c>
      <c r="H32" s="1">
        <v>376.11</v>
      </c>
      <c r="I32" s="12">
        <f t="shared" si="0"/>
        <v>2.8854338842975209</v>
      </c>
      <c r="J32" s="1">
        <f t="shared" si="1"/>
        <v>536</v>
      </c>
      <c r="K32" s="13">
        <f t="shared" si="2"/>
        <v>5.3832721721968676E-3</v>
      </c>
      <c r="L32" s="4">
        <f t="shared" si="3"/>
        <v>145.19999999999999</v>
      </c>
      <c r="M32" s="3">
        <v>44075</v>
      </c>
      <c r="N32" s="1">
        <f t="shared" si="4"/>
        <v>93</v>
      </c>
      <c r="O32" s="13">
        <f t="shared" si="5"/>
        <v>5.3763440860215058E-3</v>
      </c>
    </row>
    <row r="33" spans="1:15" x14ac:dyDescent="0.25">
      <c r="A33" s="2" t="s">
        <v>515</v>
      </c>
      <c r="B33" s="2" t="s">
        <v>516</v>
      </c>
      <c r="C33" s="3">
        <v>43983</v>
      </c>
      <c r="D33" s="12">
        <v>0.1915</v>
      </c>
      <c r="E33" s="5">
        <v>43984</v>
      </c>
      <c r="F33" s="4">
        <v>7.38</v>
      </c>
      <c r="G33" s="5">
        <v>44141</v>
      </c>
      <c r="H33" s="1">
        <v>28.43</v>
      </c>
      <c r="I33" s="12">
        <f t="shared" si="0"/>
        <v>2.8523035230352303</v>
      </c>
      <c r="J33" s="1">
        <f t="shared" si="1"/>
        <v>157</v>
      </c>
      <c r="K33" s="13">
        <f t="shared" si="2"/>
        <v>1.8167538363281721E-2</v>
      </c>
      <c r="L33" s="4">
        <f t="shared" si="3"/>
        <v>11.07</v>
      </c>
      <c r="M33" s="3">
        <v>44019</v>
      </c>
      <c r="N33" s="1">
        <f t="shared" si="4"/>
        <v>36</v>
      </c>
      <c r="O33" s="13">
        <f t="shared" si="5"/>
        <v>1.3888888888888888E-2</v>
      </c>
    </row>
    <row r="34" spans="1:15" x14ac:dyDescent="0.25">
      <c r="A34" s="2" t="s">
        <v>527</v>
      </c>
      <c r="B34" s="2" t="s">
        <v>528</v>
      </c>
      <c r="C34" s="3">
        <v>43984</v>
      </c>
      <c r="D34" s="12">
        <v>0.1226</v>
      </c>
      <c r="E34" s="5">
        <v>43985</v>
      </c>
      <c r="F34" s="4">
        <v>21.69</v>
      </c>
      <c r="G34" s="5">
        <v>44062</v>
      </c>
      <c r="H34" s="1">
        <v>128.5</v>
      </c>
      <c r="I34" s="12">
        <f t="shared" si="0"/>
        <v>4.9243891194098657</v>
      </c>
      <c r="J34" s="1">
        <f t="shared" si="1"/>
        <v>77</v>
      </c>
      <c r="K34" s="13">
        <f t="shared" si="2"/>
        <v>6.3953105446881375E-2</v>
      </c>
      <c r="L34" s="4">
        <f t="shared" si="3"/>
        <v>32.535000000000004</v>
      </c>
      <c r="M34" s="3">
        <v>44014</v>
      </c>
      <c r="N34" s="1">
        <f t="shared" si="4"/>
        <v>30</v>
      </c>
      <c r="O34" s="13">
        <f t="shared" si="5"/>
        <v>1.6666666666666666E-2</v>
      </c>
    </row>
    <row r="35" spans="1:15" x14ac:dyDescent="0.25">
      <c r="A35" s="2" t="s">
        <v>103</v>
      </c>
      <c r="B35" s="2" t="s">
        <v>104</v>
      </c>
      <c r="C35" s="3">
        <v>43984</v>
      </c>
      <c r="D35" s="12">
        <v>4.1399999999999999E-2</v>
      </c>
      <c r="E35" s="5">
        <v>43985</v>
      </c>
      <c r="F35" s="4">
        <v>2.88</v>
      </c>
      <c r="G35" s="5">
        <v>44473</v>
      </c>
      <c r="H35" s="1">
        <v>57.2</v>
      </c>
      <c r="I35" s="12">
        <f t="shared" si="0"/>
        <v>18.861111111111114</v>
      </c>
      <c r="J35" s="1">
        <f t="shared" si="1"/>
        <v>488</v>
      </c>
      <c r="K35" s="13">
        <f t="shared" si="2"/>
        <v>3.8649817850637529E-2</v>
      </c>
      <c r="L35" s="4">
        <f t="shared" si="3"/>
        <v>4.32</v>
      </c>
      <c r="M35" s="3">
        <v>43992</v>
      </c>
      <c r="N35" s="1">
        <f t="shared" si="4"/>
        <v>8</v>
      </c>
      <c r="O35" s="13">
        <f t="shared" si="5"/>
        <v>6.25E-2</v>
      </c>
    </row>
    <row r="36" spans="1:15" x14ac:dyDescent="0.25">
      <c r="A36" s="2" t="s">
        <v>194</v>
      </c>
      <c r="B36" s="2" t="s">
        <v>195</v>
      </c>
      <c r="C36" s="3">
        <v>43984</v>
      </c>
      <c r="D36" s="12">
        <v>1.32E-2</v>
      </c>
      <c r="E36" s="5">
        <v>43985</v>
      </c>
      <c r="F36" s="4">
        <v>23.1</v>
      </c>
      <c r="G36" s="5">
        <v>44341</v>
      </c>
      <c r="H36" s="1">
        <v>74.8</v>
      </c>
      <c r="I36" s="12">
        <f t="shared" si="0"/>
        <v>2.2380952380952377</v>
      </c>
      <c r="J36" s="1">
        <f t="shared" si="1"/>
        <v>356</v>
      </c>
      <c r="K36" s="13">
        <f t="shared" si="2"/>
        <v>6.2867843766720157E-3</v>
      </c>
      <c r="L36" s="4">
        <f t="shared" si="3"/>
        <v>34.650000000000006</v>
      </c>
      <c r="M36" s="3">
        <v>44020</v>
      </c>
      <c r="N36" s="1">
        <f t="shared" si="4"/>
        <v>36</v>
      </c>
      <c r="O36" s="13">
        <f t="shared" si="5"/>
        <v>1.3888888888888888E-2</v>
      </c>
    </row>
    <row r="37" spans="1:15" x14ac:dyDescent="0.25">
      <c r="A37" s="2" t="s">
        <v>213</v>
      </c>
      <c r="B37" s="2" t="s">
        <v>214</v>
      </c>
      <c r="C37" s="3">
        <v>43985</v>
      </c>
      <c r="D37" s="12">
        <v>7.3700000000000002E-2</v>
      </c>
      <c r="E37" s="5">
        <v>43986</v>
      </c>
      <c r="F37" s="4">
        <v>65.819999999999993</v>
      </c>
      <c r="G37" s="5">
        <v>44246</v>
      </c>
      <c r="H37" s="1">
        <v>174.8</v>
      </c>
      <c r="I37" s="12">
        <f t="shared" si="0"/>
        <v>1.6557277423275605</v>
      </c>
      <c r="J37" s="1">
        <f t="shared" si="1"/>
        <v>260</v>
      </c>
      <c r="K37" s="13">
        <f t="shared" si="2"/>
        <v>6.368183624336771E-3</v>
      </c>
      <c r="L37" s="4">
        <f t="shared" si="3"/>
        <v>98.72999999999999</v>
      </c>
      <c r="M37" s="3">
        <v>44043</v>
      </c>
      <c r="N37" s="1">
        <f t="shared" si="4"/>
        <v>58</v>
      </c>
      <c r="O37" s="13">
        <f t="shared" si="5"/>
        <v>8.6206896551724137E-3</v>
      </c>
    </row>
    <row r="38" spans="1:15" x14ac:dyDescent="0.25">
      <c r="A38" s="2" t="s">
        <v>436</v>
      </c>
      <c r="B38" s="2" t="s">
        <v>437</v>
      </c>
      <c r="C38" s="3">
        <v>43985</v>
      </c>
      <c r="D38" s="12">
        <v>0.1154</v>
      </c>
      <c r="E38" s="5">
        <v>43986</v>
      </c>
      <c r="F38" s="4">
        <v>35.1</v>
      </c>
      <c r="G38" s="5">
        <v>44187</v>
      </c>
      <c r="H38" s="1">
        <v>97.28</v>
      </c>
      <c r="I38" s="12">
        <f t="shared" si="0"/>
        <v>1.7715099715099716</v>
      </c>
      <c r="J38" s="1">
        <f t="shared" si="1"/>
        <v>201</v>
      </c>
      <c r="K38" s="13">
        <f t="shared" si="2"/>
        <v>8.813482445323241E-3</v>
      </c>
      <c r="L38" s="4">
        <f t="shared" si="3"/>
        <v>52.650000000000006</v>
      </c>
      <c r="M38" s="3">
        <v>44105</v>
      </c>
      <c r="N38" s="1">
        <f t="shared" si="4"/>
        <v>120</v>
      </c>
      <c r="O38" s="13">
        <f t="shared" si="5"/>
        <v>4.1666666666666666E-3</v>
      </c>
    </row>
    <row r="39" spans="1:15" x14ac:dyDescent="0.25">
      <c r="A39" s="2" t="s">
        <v>37</v>
      </c>
      <c r="B39" s="2" t="s">
        <v>535</v>
      </c>
      <c r="C39" s="3">
        <v>43986</v>
      </c>
      <c r="D39" s="12">
        <v>8.6099999999999996E-2</v>
      </c>
      <c r="E39" s="5">
        <v>43987</v>
      </c>
      <c r="F39" s="4">
        <v>55</v>
      </c>
      <c r="G39" s="5">
        <v>44231</v>
      </c>
      <c r="H39" s="1">
        <v>736</v>
      </c>
      <c r="I39" s="12">
        <f t="shared" si="0"/>
        <v>12.381818181818181</v>
      </c>
      <c r="J39" s="1">
        <f t="shared" si="1"/>
        <v>244</v>
      </c>
      <c r="K39" s="13">
        <f t="shared" si="2"/>
        <v>5.0745156482861396E-2</v>
      </c>
      <c r="L39" s="4">
        <f t="shared" si="3"/>
        <v>82.5</v>
      </c>
      <c r="M39" s="3">
        <v>43992</v>
      </c>
      <c r="N39" s="1">
        <f t="shared" si="4"/>
        <v>6</v>
      </c>
      <c r="O39" s="13">
        <f t="shared" si="5"/>
        <v>8.3333333333333329E-2</v>
      </c>
    </row>
    <row r="40" spans="1:15" x14ac:dyDescent="0.25">
      <c r="A40" s="2" t="s">
        <v>362</v>
      </c>
      <c r="B40" s="2" t="s">
        <v>363</v>
      </c>
      <c r="C40" s="3">
        <v>43987</v>
      </c>
      <c r="D40" s="12">
        <v>5.5399999999999998E-2</v>
      </c>
      <c r="E40" s="5">
        <v>43990</v>
      </c>
      <c r="F40" s="4">
        <v>47.19</v>
      </c>
      <c r="G40" s="5">
        <v>44441</v>
      </c>
      <c r="H40" s="1">
        <v>121.7</v>
      </c>
      <c r="I40" s="12">
        <f t="shared" si="0"/>
        <v>1.5789362152998518</v>
      </c>
      <c r="J40" s="1">
        <f t="shared" si="1"/>
        <v>451</v>
      </c>
      <c r="K40" s="13">
        <f t="shared" si="2"/>
        <v>3.5009672179597603E-3</v>
      </c>
      <c r="L40" s="4">
        <f t="shared" si="3"/>
        <v>70.784999999999997</v>
      </c>
      <c r="M40" s="3">
        <v>44014</v>
      </c>
      <c r="N40" s="1">
        <f t="shared" si="4"/>
        <v>25</v>
      </c>
      <c r="O40" s="13">
        <f t="shared" si="5"/>
        <v>0.02</v>
      </c>
    </row>
    <row r="41" spans="1:15" x14ac:dyDescent="0.25">
      <c r="A41" s="2" t="s">
        <v>509</v>
      </c>
      <c r="B41" s="2" t="s">
        <v>508</v>
      </c>
      <c r="C41" s="3">
        <v>43992</v>
      </c>
      <c r="D41" s="12">
        <v>0.57450000000000001</v>
      </c>
      <c r="E41" s="5">
        <v>43993</v>
      </c>
      <c r="F41" s="4">
        <v>0.7</v>
      </c>
      <c r="G41" s="5">
        <v>44232</v>
      </c>
      <c r="H41" s="1">
        <v>17</v>
      </c>
      <c r="I41" s="12">
        <f t="shared" si="0"/>
        <v>23.285714285714288</v>
      </c>
      <c r="J41" s="1">
        <f t="shared" si="1"/>
        <v>239</v>
      </c>
      <c r="K41" s="13">
        <f t="shared" si="2"/>
        <v>9.7429766885833838E-2</v>
      </c>
      <c r="L41" s="4">
        <f t="shared" si="3"/>
        <v>1.0499999999999998</v>
      </c>
      <c r="M41" s="3">
        <v>43994</v>
      </c>
      <c r="N41" s="1">
        <f t="shared" si="4"/>
        <v>2</v>
      </c>
      <c r="O41" s="13">
        <f t="shared" si="5"/>
        <v>0.25</v>
      </c>
    </row>
    <row r="42" spans="1:15" x14ac:dyDescent="0.25">
      <c r="A42" s="2" t="s">
        <v>62</v>
      </c>
      <c r="B42" s="2" t="s">
        <v>63</v>
      </c>
      <c r="C42" s="3">
        <v>43997</v>
      </c>
      <c r="D42" s="12">
        <v>0.31169999999999998</v>
      </c>
      <c r="E42" s="5">
        <v>43998</v>
      </c>
      <c r="F42" s="4">
        <v>0.23300000000000001</v>
      </c>
      <c r="G42" s="5">
        <v>44075</v>
      </c>
      <c r="H42" s="1">
        <v>0.65300000000000002</v>
      </c>
      <c r="I42" s="12">
        <f t="shared" si="0"/>
        <v>1.8025751072961373</v>
      </c>
      <c r="J42" s="1">
        <f t="shared" si="1"/>
        <v>77</v>
      </c>
      <c r="K42" s="13">
        <f t="shared" si="2"/>
        <v>2.3410066328521266E-2</v>
      </c>
      <c r="L42" s="4">
        <f t="shared" si="3"/>
        <v>0.34950000000000003</v>
      </c>
      <c r="M42" s="3">
        <v>43999</v>
      </c>
      <c r="N42" s="1">
        <f t="shared" si="4"/>
        <v>2</v>
      </c>
      <c r="O42" s="13">
        <f t="shared" si="5"/>
        <v>0.25</v>
      </c>
    </row>
    <row r="43" spans="1:15" x14ac:dyDescent="0.25">
      <c r="A43" s="2" t="s">
        <v>206</v>
      </c>
      <c r="B43" s="2" t="s">
        <v>207</v>
      </c>
      <c r="C43" s="3">
        <v>43997</v>
      </c>
      <c r="D43" s="12">
        <v>0.2082</v>
      </c>
      <c r="E43" s="5">
        <v>43998</v>
      </c>
      <c r="F43" s="4">
        <v>56.33</v>
      </c>
      <c r="G43" s="5">
        <v>44050</v>
      </c>
      <c r="H43" s="1">
        <v>141.78</v>
      </c>
      <c r="I43" s="12">
        <f t="shared" si="0"/>
        <v>1.5169536658973906</v>
      </c>
      <c r="J43" s="1">
        <f t="shared" si="1"/>
        <v>52</v>
      </c>
      <c r="K43" s="13">
        <f t="shared" si="2"/>
        <v>2.9172185882642126E-2</v>
      </c>
      <c r="L43" s="4">
        <f t="shared" si="3"/>
        <v>84.495000000000005</v>
      </c>
      <c r="M43" s="3">
        <v>44021</v>
      </c>
      <c r="N43" s="1">
        <f t="shared" si="4"/>
        <v>24</v>
      </c>
      <c r="O43" s="13">
        <f t="shared" si="5"/>
        <v>2.0833333333333332E-2</v>
      </c>
    </row>
    <row r="44" spans="1:15" x14ac:dyDescent="0.25">
      <c r="A44" s="2" t="s">
        <v>352</v>
      </c>
      <c r="B44" s="2" t="s">
        <v>353</v>
      </c>
      <c r="C44" s="3">
        <v>43997</v>
      </c>
      <c r="D44" s="12">
        <v>6.0299999999999999E-2</v>
      </c>
      <c r="E44" s="5">
        <v>43998</v>
      </c>
      <c r="F44" s="4">
        <v>48.45</v>
      </c>
      <c r="G44" s="5">
        <v>44210</v>
      </c>
      <c r="H44" s="1">
        <v>171.09</v>
      </c>
      <c r="I44" s="12">
        <f t="shared" si="0"/>
        <v>2.5312693498452012</v>
      </c>
      <c r="J44" s="1">
        <f t="shared" si="1"/>
        <v>212</v>
      </c>
      <c r="K44" s="13">
        <f t="shared" si="2"/>
        <v>1.1939949763420761E-2</v>
      </c>
      <c r="L44" s="4">
        <f t="shared" si="3"/>
        <v>72.675000000000011</v>
      </c>
      <c r="M44" s="3">
        <v>44046</v>
      </c>
      <c r="N44" s="1">
        <f t="shared" si="4"/>
        <v>49</v>
      </c>
      <c r="O44" s="13">
        <f t="shared" si="5"/>
        <v>1.020408163265306E-2</v>
      </c>
    </row>
    <row r="45" spans="1:15" x14ac:dyDescent="0.25">
      <c r="A45" s="2" t="s">
        <v>456</v>
      </c>
      <c r="B45" s="2" t="s">
        <v>457</v>
      </c>
      <c r="C45" s="3">
        <v>43997</v>
      </c>
      <c r="D45" s="12">
        <v>0.19819999999999999</v>
      </c>
      <c r="E45" s="5">
        <v>43998</v>
      </c>
      <c r="F45" s="4">
        <v>81.3</v>
      </c>
      <c r="G45" s="5">
        <v>44032</v>
      </c>
      <c r="H45" s="1">
        <v>207.9</v>
      </c>
      <c r="I45" s="12">
        <f t="shared" si="0"/>
        <v>1.5571955719557198</v>
      </c>
      <c r="J45" s="1">
        <f t="shared" si="1"/>
        <v>34</v>
      </c>
      <c r="K45" s="13">
        <f t="shared" si="2"/>
        <v>4.5799869763403521E-2</v>
      </c>
      <c r="L45" s="4">
        <f t="shared" si="3"/>
        <v>121.94999999999999</v>
      </c>
      <c r="M45" s="3">
        <v>44020</v>
      </c>
      <c r="N45" s="1">
        <f t="shared" si="4"/>
        <v>23</v>
      </c>
      <c r="O45" s="13">
        <f t="shared" si="5"/>
        <v>2.1739130434782608E-2</v>
      </c>
    </row>
    <row r="46" spans="1:15" x14ac:dyDescent="0.25">
      <c r="A46" s="2" t="s">
        <v>186</v>
      </c>
      <c r="B46" s="2" t="s">
        <v>187</v>
      </c>
      <c r="C46" s="3">
        <v>43998</v>
      </c>
      <c r="D46" s="12">
        <v>1.8200000000000001E-2</v>
      </c>
      <c r="E46" s="5">
        <v>43999</v>
      </c>
      <c r="F46" s="4">
        <v>225.5</v>
      </c>
      <c r="G46" s="5">
        <v>44244</v>
      </c>
      <c r="H46" s="1">
        <v>457.6</v>
      </c>
      <c r="I46" s="12">
        <f t="shared" si="0"/>
        <v>1.0292682926829269</v>
      </c>
      <c r="J46" s="1">
        <f t="shared" si="1"/>
        <v>245</v>
      </c>
      <c r="K46" s="13">
        <f t="shared" si="2"/>
        <v>4.2010950721752113E-3</v>
      </c>
      <c r="L46" s="4">
        <f t="shared" si="3"/>
        <v>338.25</v>
      </c>
      <c r="M46" s="3">
        <v>44123</v>
      </c>
      <c r="N46" s="1">
        <f t="shared" si="4"/>
        <v>125</v>
      </c>
      <c r="O46" s="13">
        <f t="shared" si="5"/>
        <v>4.0000000000000001E-3</v>
      </c>
    </row>
    <row r="47" spans="1:15" x14ac:dyDescent="0.25">
      <c r="A47" s="2" t="s">
        <v>211</v>
      </c>
      <c r="B47" s="2" t="s">
        <v>212</v>
      </c>
      <c r="C47" s="3">
        <v>43998</v>
      </c>
      <c r="D47" s="12">
        <v>0.14879999999999999</v>
      </c>
      <c r="E47" s="5">
        <v>43999</v>
      </c>
      <c r="F47" s="4">
        <v>2.4900000000000002</v>
      </c>
      <c r="G47" s="5">
        <v>44249</v>
      </c>
      <c r="H47" s="1">
        <v>14.96</v>
      </c>
      <c r="I47" s="12">
        <f t="shared" si="0"/>
        <v>5.0080321285140563</v>
      </c>
      <c r="J47" s="1">
        <f t="shared" si="1"/>
        <v>250</v>
      </c>
      <c r="K47" s="13">
        <f t="shared" si="2"/>
        <v>2.0032128514056224E-2</v>
      </c>
      <c r="L47" s="4">
        <f t="shared" si="3"/>
        <v>3.7350000000000003</v>
      </c>
      <c r="M47" s="3">
        <v>44027</v>
      </c>
      <c r="N47" s="1">
        <f t="shared" si="4"/>
        <v>29</v>
      </c>
      <c r="O47" s="13">
        <f t="shared" si="5"/>
        <v>1.7241379310344827E-2</v>
      </c>
    </row>
    <row r="48" spans="1:15" x14ac:dyDescent="0.25">
      <c r="A48" s="2" t="s">
        <v>105</v>
      </c>
      <c r="B48" s="2" t="s">
        <v>106</v>
      </c>
      <c r="C48" s="3">
        <v>44000</v>
      </c>
      <c r="D48" s="12">
        <v>7.2900000000000006E-2</v>
      </c>
      <c r="E48" s="5">
        <v>44001</v>
      </c>
      <c r="F48" s="4">
        <v>3.43</v>
      </c>
      <c r="G48" s="5">
        <v>44508</v>
      </c>
      <c r="H48" s="1">
        <v>36.74</v>
      </c>
      <c r="I48" s="12">
        <f t="shared" si="0"/>
        <v>9.7113702623906715</v>
      </c>
      <c r="J48" s="1">
        <f t="shared" si="1"/>
        <v>507</v>
      </c>
      <c r="K48" s="13">
        <f t="shared" si="2"/>
        <v>1.915457645441947E-2</v>
      </c>
      <c r="L48" s="4">
        <f t="shared" si="3"/>
        <v>5.1450000000000005</v>
      </c>
      <c r="M48" s="3">
        <v>44048</v>
      </c>
      <c r="N48" s="1">
        <f t="shared" si="4"/>
        <v>48</v>
      </c>
      <c r="O48" s="13">
        <f t="shared" si="5"/>
        <v>1.0416666666666666E-2</v>
      </c>
    </row>
    <row r="49" spans="1:15" x14ac:dyDescent="0.25">
      <c r="A49" s="2" t="s">
        <v>38</v>
      </c>
      <c r="B49" s="2" t="s">
        <v>39</v>
      </c>
      <c r="C49" s="3">
        <v>44004</v>
      </c>
      <c r="D49" s="12">
        <v>0.15</v>
      </c>
      <c r="E49" s="5">
        <v>44005</v>
      </c>
      <c r="F49" s="4">
        <v>2.3E-2</v>
      </c>
      <c r="G49" s="5">
        <v>44059</v>
      </c>
      <c r="H49" s="1">
        <v>7.0999999999999994E-2</v>
      </c>
      <c r="I49" s="12">
        <f t="shared" si="0"/>
        <v>2.0869565217391304</v>
      </c>
      <c r="J49" s="1">
        <f t="shared" si="1"/>
        <v>54</v>
      </c>
      <c r="K49" s="13">
        <f t="shared" si="2"/>
        <v>3.864734299516908E-2</v>
      </c>
      <c r="L49" s="4">
        <f t="shared" si="3"/>
        <v>3.4500000000000003E-2</v>
      </c>
      <c r="M49" s="3">
        <v>44015</v>
      </c>
      <c r="N49" s="1">
        <f t="shared" si="4"/>
        <v>11</v>
      </c>
      <c r="O49" s="13">
        <f t="shared" si="5"/>
        <v>4.5454545454545456E-2</v>
      </c>
    </row>
    <row r="50" spans="1:15" x14ac:dyDescent="0.25">
      <c r="A50" s="2" t="s">
        <v>192</v>
      </c>
      <c r="B50" s="2" t="s">
        <v>193</v>
      </c>
      <c r="C50" s="3">
        <v>44004</v>
      </c>
      <c r="D50" s="12">
        <v>6.9199999999999998E-2</v>
      </c>
      <c r="E50" s="5">
        <v>44005</v>
      </c>
      <c r="F50" s="4">
        <v>72.47</v>
      </c>
      <c r="G50" s="5">
        <v>44243</v>
      </c>
      <c r="H50" s="1">
        <v>336</v>
      </c>
      <c r="I50" s="12">
        <f t="shared" si="0"/>
        <v>3.6364012694908237</v>
      </c>
      <c r="J50" s="1">
        <f t="shared" si="1"/>
        <v>238</v>
      </c>
      <c r="K50" s="13">
        <f t="shared" si="2"/>
        <v>1.5278996930633712E-2</v>
      </c>
      <c r="L50" s="4">
        <f t="shared" si="3"/>
        <v>108.705</v>
      </c>
      <c r="M50" s="3">
        <v>44048</v>
      </c>
      <c r="N50" s="1">
        <f t="shared" si="4"/>
        <v>44</v>
      </c>
      <c r="O50" s="13">
        <f t="shared" si="5"/>
        <v>1.1363636363636364E-2</v>
      </c>
    </row>
    <row r="51" spans="1:15" x14ac:dyDescent="0.25">
      <c r="A51" s="2" t="s">
        <v>400</v>
      </c>
      <c r="B51" s="2" t="s">
        <v>401</v>
      </c>
      <c r="C51" s="3">
        <v>44004</v>
      </c>
      <c r="D51" s="12">
        <v>3.5000000000000003E-2</v>
      </c>
      <c r="E51" s="5">
        <v>44005</v>
      </c>
      <c r="F51" s="4">
        <v>10.48</v>
      </c>
      <c r="G51" s="5">
        <v>44203</v>
      </c>
      <c r="H51" s="1">
        <v>31.06</v>
      </c>
      <c r="I51" s="12">
        <f t="shared" si="0"/>
        <v>1.9637404580152671</v>
      </c>
      <c r="J51" s="1">
        <f t="shared" si="1"/>
        <v>198</v>
      </c>
      <c r="K51" s="13">
        <f t="shared" si="2"/>
        <v>9.917881101087208E-3</v>
      </c>
      <c r="L51" s="4">
        <f t="shared" si="3"/>
        <v>15.72</v>
      </c>
      <c r="M51" s="3">
        <v>44069</v>
      </c>
      <c r="N51" s="1">
        <f t="shared" si="4"/>
        <v>65</v>
      </c>
      <c r="O51" s="13">
        <f t="shared" si="5"/>
        <v>7.6923076923076927E-3</v>
      </c>
    </row>
    <row r="52" spans="1:15" x14ac:dyDescent="0.25">
      <c r="A52" s="2" t="s">
        <v>446</v>
      </c>
      <c r="B52" s="2" t="s">
        <v>447</v>
      </c>
      <c r="C52" s="3">
        <v>44004</v>
      </c>
      <c r="D52" s="12">
        <v>6.9400000000000003E-2</v>
      </c>
      <c r="E52" s="5">
        <v>44005</v>
      </c>
      <c r="F52" s="4">
        <v>42</v>
      </c>
      <c r="G52" s="5">
        <v>44217</v>
      </c>
      <c r="H52" s="1">
        <v>214.07</v>
      </c>
      <c r="I52" s="12">
        <f t="shared" si="0"/>
        <v>4.0969047619047618</v>
      </c>
      <c r="J52" s="1">
        <f t="shared" si="1"/>
        <v>212</v>
      </c>
      <c r="K52" s="13">
        <f t="shared" si="2"/>
        <v>1.9325022461814913E-2</v>
      </c>
      <c r="L52" s="4">
        <f t="shared" si="3"/>
        <v>63</v>
      </c>
      <c r="M52" s="3">
        <v>44048</v>
      </c>
      <c r="N52" s="1">
        <f t="shared" si="4"/>
        <v>44</v>
      </c>
      <c r="O52" s="13">
        <f t="shared" si="5"/>
        <v>1.1363636363636364E-2</v>
      </c>
    </row>
    <row r="53" spans="1:15" x14ac:dyDescent="0.25">
      <c r="A53" s="2" t="s">
        <v>97</v>
      </c>
      <c r="B53" s="2" t="s">
        <v>98</v>
      </c>
      <c r="C53" s="3">
        <v>44006</v>
      </c>
      <c r="D53" s="12">
        <v>0.16950000000000001</v>
      </c>
      <c r="E53" s="5">
        <v>44007</v>
      </c>
      <c r="F53" s="4">
        <v>4.2699999999999996</v>
      </c>
      <c r="G53" s="5">
        <v>44166</v>
      </c>
      <c r="H53" s="1">
        <v>25.5</v>
      </c>
      <c r="I53" s="12">
        <f t="shared" si="0"/>
        <v>4.9718969555035137</v>
      </c>
      <c r="J53" s="1">
        <f t="shared" si="1"/>
        <v>159</v>
      </c>
      <c r="K53" s="13">
        <f t="shared" si="2"/>
        <v>3.1269792172978074E-2</v>
      </c>
      <c r="L53" s="4">
        <f t="shared" si="3"/>
        <v>6.4049999999999994</v>
      </c>
      <c r="M53" s="3">
        <v>44091</v>
      </c>
      <c r="N53" s="1">
        <f t="shared" si="4"/>
        <v>85</v>
      </c>
      <c r="O53" s="13">
        <f t="shared" si="5"/>
        <v>5.8823529411764705E-3</v>
      </c>
    </row>
    <row r="54" spans="1:15" x14ac:dyDescent="0.25">
      <c r="A54" s="2" t="s">
        <v>14</v>
      </c>
      <c r="B54" s="2" t="s">
        <v>14</v>
      </c>
      <c r="C54" s="3">
        <v>44006</v>
      </c>
      <c r="D54" s="12">
        <v>5.16E-2</v>
      </c>
      <c r="E54" s="5">
        <v>44007</v>
      </c>
      <c r="F54" s="4">
        <v>34.5</v>
      </c>
      <c r="G54" s="5">
        <v>44204</v>
      </c>
      <c r="H54" s="1">
        <v>94.7</v>
      </c>
      <c r="I54" s="12">
        <f t="shared" si="0"/>
        <v>1.7449275362318843</v>
      </c>
      <c r="J54" s="1">
        <f t="shared" si="1"/>
        <v>197</v>
      </c>
      <c r="K54" s="13">
        <f t="shared" si="2"/>
        <v>8.857500183918194E-3</v>
      </c>
      <c r="L54" s="4">
        <f t="shared" si="3"/>
        <v>51.75</v>
      </c>
      <c r="M54" s="3">
        <v>44071</v>
      </c>
      <c r="N54" s="1">
        <f t="shared" si="4"/>
        <v>65</v>
      </c>
      <c r="O54" s="13">
        <f t="shared" si="5"/>
        <v>7.6923076923076927E-3</v>
      </c>
    </row>
    <row r="55" spans="1:15" x14ac:dyDescent="0.25">
      <c r="A55" s="2" t="s">
        <v>539</v>
      </c>
      <c r="B55" s="2" t="s">
        <v>540</v>
      </c>
      <c r="C55" s="3">
        <v>44008</v>
      </c>
      <c r="D55" s="12">
        <v>8.9499999999999996E-2</v>
      </c>
      <c r="E55" s="5">
        <v>44011</v>
      </c>
      <c r="F55" s="4">
        <v>8.4</v>
      </c>
      <c r="G55" s="5">
        <v>44050</v>
      </c>
      <c r="H55" s="1">
        <v>18.625</v>
      </c>
      <c r="I55" s="12">
        <f t="shared" si="0"/>
        <v>1.2172619047619047</v>
      </c>
      <c r="J55" s="1">
        <f t="shared" si="1"/>
        <v>39</v>
      </c>
      <c r="K55" s="13">
        <f t="shared" si="2"/>
        <v>3.1211843711843709E-2</v>
      </c>
      <c r="L55" s="4">
        <f t="shared" si="3"/>
        <v>12.600000000000001</v>
      </c>
      <c r="M55" s="3">
        <v>44026</v>
      </c>
      <c r="N55" s="1">
        <f t="shared" si="4"/>
        <v>16</v>
      </c>
      <c r="O55" s="13">
        <f t="shared" si="5"/>
        <v>3.125E-2</v>
      </c>
    </row>
    <row r="56" spans="1:15" x14ac:dyDescent="0.25">
      <c r="A56" s="2" t="s">
        <v>208</v>
      </c>
      <c r="B56" s="2" t="s">
        <v>209</v>
      </c>
      <c r="C56" s="3">
        <v>44008</v>
      </c>
      <c r="D56" s="12">
        <v>2.5499999999999998E-2</v>
      </c>
      <c r="E56" s="5">
        <v>44011</v>
      </c>
      <c r="F56" s="4">
        <v>118.37</v>
      </c>
      <c r="G56" s="5">
        <v>44502</v>
      </c>
      <c r="H56" s="1">
        <v>524.30999999999995</v>
      </c>
      <c r="I56" s="12">
        <f t="shared" si="0"/>
        <v>3.4294162372222683</v>
      </c>
      <c r="J56" s="1">
        <f t="shared" si="1"/>
        <v>491</v>
      </c>
      <c r="K56" s="13">
        <f t="shared" si="2"/>
        <v>6.9845544546278376E-3</v>
      </c>
      <c r="L56" s="4">
        <f t="shared" si="3"/>
        <v>177.55500000000001</v>
      </c>
      <c r="M56" s="3">
        <v>44050</v>
      </c>
      <c r="N56" s="1">
        <f t="shared" si="4"/>
        <v>40</v>
      </c>
      <c r="O56" s="13">
        <f t="shared" si="5"/>
        <v>1.2500000000000001E-2</v>
      </c>
    </row>
    <row r="57" spans="1:15" x14ac:dyDescent="0.25">
      <c r="A57" s="2" t="s">
        <v>225</v>
      </c>
      <c r="B57" s="2" t="s">
        <v>226</v>
      </c>
      <c r="C57" s="3">
        <v>44008</v>
      </c>
      <c r="D57" s="12">
        <v>6.0699999999999997E-2</v>
      </c>
      <c r="E57" s="5">
        <v>44011</v>
      </c>
      <c r="F57" s="4">
        <v>3.11</v>
      </c>
      <c r="G57" s="5">
        <v>44236</v>
      </c>
      <c r="H57" s="1">
        <v>17.21</v>
      </c>
      <c r="I57" s="12">
        <f t="shared" si="0"/>
        <v>4.5337620578778139</v>
      </c>
      <c r="J57" s="1">
        <f t="shared" si="1"/>
        <v>225</v>
      </c>
      <c r="K57" s="13">
        <f t="shared" si="2"/>
        <v>2.0150053590568061E-2</v>
      </c>
      <c r="L57" s="4">
        <f t="shared" si="3"/>
        <v>4.665</v>
      </c>
      <c r="M57" s="3">
        <v>44069</v>
      </c>
      <c r="N57" s="1">
        <f t="shared" si="4"/>
        <v>59</v>
      </c>
      <c r="O57" s="13">
        <f t="shared" si="5"/>
        <v>8.4745762711864406E-3</v>
      </c>
    </row>
    <row r="58" spans="1:15" x14ac:dyDescent="0.25">
      <c r="A58" s="2" t="s">
        <v>392</v>
      </c>
      <c r="B58" s="2" t="s">
        <v>393</v>
      </c>
      <c r="C58" s="3">
        <v>44008</v>
      </c>
      <c r="D58" s="12">
        <v>5.8799999999999998E-2</v>
      </c>
      <c r="E58" s="5">
        <v>44011</v>
      </c>
      <c r="F58" s="4">
        <v>72</v>
      </c>
      <c r="G58" s="5">
        <v>44320</v>
      </c>
      <c r="H58" s="1">
        <v>199.5</v>
      </c>
      <c r="I58" s="12">
        <f t="shared" si="0"/>
        <v>1.7708333333333335</v>
      </c>
      <c r="J58" s="1">
        <f t="shared" si="1"/>
        <v>309</v>
      </c>
      <c r="K58" s="13">
        <f t="shared" si="2"/>
        <v>5.7308522114347359E-3</v>
      </c>
      <c r="L58" s="4">
        <f t="shared" si="3"/>
        <v>108</v>
      </c>
      <c r="M58" s="3">
        <v>44167</v>
      </c>
      <c r="N58" s="1">
        <f t="shared" si="4"/>
        <v>157</v>
      </c>
      <c r="O58" s="13">
        <f t="shared" si="5"/>
        <v>3.1847133757961785E-3</v>
      </c>
    </row>
    <row r="59" spans="1:15" x14ac:dyDescent="0.25">
      <c r="A59" s="2" t="s">
        <v>77</v>
      </c>
      <c r="B59" s="2" t="s">
        <v>78</v>
      </c>
      <c r="C59" s="3">
        <v>44012</v>
      </c>
      <c r="D59" s="12">
        <v>0.3236</v>
      </c>
      <c r="E59" s="5">
        <v>44013</v>
      </c>
      <c r="F59" s="4">
        <v>10.08</v>
      </c>
      <c r="G59" s="5">
        <v>44235</v>
      </c>
      <c r="H59" s="1">
        <v>44.95</v>
      </c>
      <c r="I59" s="12">
        <f t="shared" si="0"/>
        <v>3.4593253968253972</v>
      </c>
      <c r="J59" s="1">
        <f t="shared" si="1"/>
        <v>222</v>
      </c>
      <c r="K59" s="13">
        <f t="shared" si="2"/>
        <v>1.5582546832546834E-2</v>
      </c>
      <c r="L59" s="4">
        <f t="shared" si="3"/>
        <v>15.120000000000001</v>
      </c>
      <c r="M59" s="3">
        <v>44027</v>
      </c>
      <c r="N59" s="1">
        <f t="shared" si="4"/>
        <v>15</v>
      </c>
      <c r="O59" s="13">
        <f t="shared" si="5"/>
        <v>3.3333333333333333E-2</v>
      </c>
    </row>
    <row r="60" spans="1:15" x14ac:dyDescent="0.25">
      <c r="A60" s="2" t="s">
        <v>432</v>
      </c>
      <c r="B60" s="2" t="s">
        <v>433</v>
      </c>
      <c r="C60" s="3">
        <v>44012</v>
      </c>
      <c r="D60" s="12">
        <v>8.3099999999999993E-2</v>
      </c>
      <c r="E60" s="5">
        <v>44013</v>
      </c>
      <c r="F60" s="4">
        <v>63.87</v>
      </c>
      <c r="G60" s="5">
        <v>44221</v>
      </c>
      <c r="H60" s="1">
        <v>247.67</v>
      </c>
      <c r="I60" s="12">
        <f t="shared" si="0"/>
        <v>2.877720369500548</v>
      </c>
      <c r="J60" s="1">
        <f t="shared" si="1"/>
        <v>208</v>
      </c>
      <c r="K60" s="13">
        <f t="shared" si="2"/>
        <v>1.383519408413725E-2</v>
      </c>
      <c r="L60" s="4">
        <f t="shared" si="3"/>
        <v>95.804999999999993</v>
      </c>
      <c r="M60" s="3">
        <v>44025</v>
      </c>
      <c r="N60" s="1">
        <f t="shared" si="4"/>
        <v>13</v>
      </c>
      <c r="O60" s="13">
        <f t="shared" si="5"/>
        <v>3.8461538461538464E-2</v>
      </c>
    </row>
    <row r="61" spans="1:15" x14ac:dyDescent="0.25">
      <c r="A61" s="2" t="s">
        <v>182</v>
      </c>
      <c r="B61" s="2" t="s">
        <v>183</v>
      </c>
      <c r="C61" s="3">
        <v>44013</v>
      </c>
      <c r="D61" s="12">
        <v>0.1172</v>
      </c>
      <c r="E61" s="5">
        <v>44053</v>
      </c>
      <c r="F61" s="4">
        <v>175.93</v>
      </c>
      <c r="G61" s="5">
        <v>44174</v>
      </c>
      <c r="H61" s="1">
        <v>301.39999999999998</v>
      </c>
      <c r="I61" s="12">
        <f t="shared" si="0"/>
        <v>0.71318137895753964</v>
      </c>
      <c r="J61" s="1">
        <f t="shared" si="1"/>
        <v>121</v>
      </c>
      <c r="K61" s="13">
        <f t="shared" si="2"/>
        <v>5.8940609831201621E-3</v>
      </c>
      <c r="L61" s="4">
        <f t="shared" si="3"/>
        <v>263.89499999999998</v>
      </c>
      <c r="M61" s="3">
        <v>44088</v>
      </c>
      <c r="N61" s="1">
        <f t="shared" si="4"/>
        <v>36</v>
      </c>
      <c r="O61" s="13">
        <f t="shared" si="5"/>
        <v>1.3888888888888888E-2</v>
      </c>
    </row>
    <row r="62" spans="1:15" x14ac:dyDescent="0.25">
      <c r="A62" s="2" t="s">
        <v>322</v>
      </c>
      <c r="B62" s="2" t="s">
        <v>323</v>
      </c>
      <c r="C62" s="3">
        <v>44013</v>
      </c>
      <c r="D62" s="12">
        <v>2.46E-2</v>
      </c>
      <c r="E62" s="5">
        <v>44014</v>
      </c>
      <c r="F62" s="4">
        <v>9.0500000000000007</v>
      </c>
      <c r="G62" s="5">
        <v>44207</v>
      </c>
      <c r="H62" s="1">
        <v>66.989999999999995</v>
      </c>
      <c r="I62" s="12">
        <f t="shared" si="0"/>
        <v>6.4022099447513803</v>
      </c>
      <c r="J62" s="1">
        <f t="shared" si="1"/>
        <v>193</v>
      </c>
      <c r="K62" s="13">
        <f t="shared" si="2"/>
        <v>3.3172072252597828E-2</v>
      </c>
      <c r="L62" s="4">
        <f t="shared" si="3"/>
        <v>13.575000000000001</v>
      </c>
      <c r="M62" s="3">
        <v>44019</v>
      </c>
      <c r="N62" s="1">
        <f t="shared" si="4"/>
        <v>6</v>
      </c>
      <c r="O62" s="13">
        <f t="shared" si="5"/>
        <v>8.3333333333333329E-2</v>
      </c>
    </row>
    <row r="63" spans="1:15" x14ac:dyDescent="0.25">
      <c r="A63" s="2" t="s">
        <v>71</v>
      </c>
      <c r="B63" s="2" t="s">
        <v>72</v>
      </c>
      <c r="C63" s="3">
        <v>44014</v>
      </c>
      <c r="D63" s="12">
        <v>0.12089999999999999</v>
      </c>
      <c r="E63" s="5">
        <v>44018</v>
      </c>
      <c r="F63" s="4">
        <v>18.79</v>
      </c>
      <c r="G63" s="5">
        <v>44440</v>
      </c>
      <c r="H63" s="1">
        <v>60.67</v>
      </c>
      <c r="I63" s="12">
        <f t="shared" si="0"/>
        <v>2.2288451303885046</v>
      </c>
      <c r="J63" s="1">
        <f t="shared" si="1"/>
        <v>422</v>
      </c>
      <c r="K63" s="13">
        <f t="shared" si="2"/>
        <v>5.2816235317263141E-3</v>
      </c>
      <c r="L63" s="4">
        <f t="shared" si="3"/>
        <v>28.184999999999999</v>
      </c>
      <c r="M63" s="3">
        <v>44090</v>
      </c>
      <c r="N63" s="1">
        <f t="shared" si="4"/>
        <v>73</v>
      </c>
      <c r="O63" s="13">
        <f t="shared" si="5"/>
        <v>6.8493150684931503E-3</v>
      </c>
    </row>
    <row r="64" spans="1:15" x14ac:dyDescent="0.25">
      <c r="A64" s="2" t="s">
        <v>422</v>
      </c>
      <c r="B64" s="2" t="s">
        <v>423</v>
      </c>
      <c r="C64" s="3">
        <v>44014</v>
      </c>
      <c r="D64" s="12">
        <v>3.1600000000000003E-2</v>
      </c>
      <c r="E64" s="5">
        <v>44018</v>
      </c>
      <c r="F64" s="4">
        <v>57.82</v>
      </c>
      <c r="G64" s="5">
        <v>44243</v>
      </c>
      <c r="H64" s="1">
        <v>136.53</v>
      </c>
      <c r="I64" s="12">
        <f t="shared" si="0"/>
        <v>1.3612936700103768</v>
      </c>
      <c r="J64" s="1">
        <f t="shared" si="1"/>
        <v>225</v>
      </c>
      <c r="K64" s="13">
        <f t="shared" si="2"/>
        <v>6.0501940889350079E-3</v>
      </c>
      <c r="L64" s="4">
        <f t="shared" si="3"/>
        <v>86.73</v>
      </c>
      <c r="M64" s="3">
        <v>44116</v>
      </c>
      <c r="N64" s="1">
        <f t="shared" si="4"/>
        <v>99</v>
      </c>
      <c r="O64" s="13">
        <f t="shared" si="5"/>
        <v>5.0505050505050509E-3</v>
      </c>
    </row>
    <row r="65" spans="1:15" x14ac:dyDescent="0.25">
      <c r="A65" s="2" t="s">
        <v>463</v>
      </c>
      <c r="B65" s="2" t="s">
        <v>464</v>
      </c>
      <c r="C65" s="3">
        <v>44014</v>
      </c>
      <c r="D65" s="12">
        <v>0.16800000000000001</v>
      </c>
      <c r="E65" s="5">
        <v>44018</v>
      </c>
      <c r="F65" s="4">
        <v>2.84</v>
      </c>
      <c r="G65" s="5">
        <v>44295</v>
      </c>
      <c r="H65" s="1">
        <v>32.43</v>
      </c>
      <c r="I65" s="12">
        <f t="shared" si="0"/>
        <v>10.419014084507042</v>
      </c>
      <c r="J65" s="1">
        <f t="shared" si="1"/>
        <v>277</v>
      </c>
      <c r="K65" s="13">
        <f t="shared" si="2"/>
        <v>3.7613769258148168E-2</v>
      </c>
      <c r="L65" s="4">
        <f t="shared" si="3"/>
        <v>4.26</v>
      </c>
      <c r="M65" s="3">
        <v>44021</v>
      </c>
      <c r="N65" s="1">
        <f t="shared" si="4"/>
        <v>4</v>
      </c>
      <c r="O65" s="13">
        <f t="shared" si="5"/>
        <v>0.125</v>
      </c>
    </row>
    <row r="66" spans="1:15" x14ac:dyDescent="0.25">
      <c r="A66" s="2" t="s">
        <v>198</v>
      </c>
      <c r="B66" s="2" t="s">
        <v>199</v>
      </c>
      <c r="C66" s="3">
        <v>44018</v>
      </c>
      <c r="D66" s="12">
        <v>2.1000000000000001E-2</v>
      </c>
      <c r="E66" s="5">
        <v>44019</v>
      </c>
      <c r="F66" s="4">
        <v>19.11</v>
      </c>
      <c r="G66" s="5">
        <v>44238</v>
      </c>
      <c r="H66" s="1">
        <v>61.77</v>
      </c>
      <c r="I66" s="12">
        <f t="shared" si="0"/>
        <v>2.2323390894819468</v>
      </c>
      <c r="J66" s="1">
        <f t="shared" si="1"/>
        <v>219</v>
      </c>
      <c r="K66" s="13">
        <f t="shared" si="2"/>
        <v>1.0193329175716652E-2</v>
      </c>
      <c r="L66" s="4">
        <f t="shared" si="3"/>
        <v>28.664999999999999</v>
      </c>
      <c r="M66" s="3">
        <v>44127</v>
      </c>
      <c r="N66" s="1">
        <f t="shared" si="4"/>
        <v>109</v>
      </c>
      <c r="O66" s="13">
        <f t="shared" si="5"/>
        <v>4.5871559633027525E-3</v>
      </c>
    </row>
    <row r="67" spans="1:15" x14ac:dyDescent="0.25">
      <c r="A67" s="2" t="s">
        <v>416</v>
      </c>
      <c r="B67" s="2" t="s">
        <v>417</v>
      </c>
      <c r="C67" s="3">
        <v>44018</v>
      </c>
      <c r="D67" s="12">
        <v>6.7000000000000004E-2</v>
      </c>
      <c r="E67" s="5">
        <v>44019</v>
      </c>
      <c r="F67" s="4">
        <v>23.95</v>
      </c>
      <c r="G67" s="5">
        <v>44208</v>
      </c>
      <c r="H67" s="1">
        <v>100.93</v>
      </c>
      <c r="I67" s="12">
        <f t="shared" si="0"/>
        <v>3.21419624217119</v>
      </c>
      <c r="J67" s="1">
        <f t="shared" si="1"/>
        <v>189</v>
      </c>
      <c r="K67" s="13">
        <f t="shared" si="2"/>
        <v>1.7006329323657091E-2</v>
      </c>
      <c r="L67" s="4">
        <f t="shared" si="3"/>
        <v>35.924999999999997</v>
      </c>
      <c r="M67" s="3">
        <v>44028</v>
      </c>
      <c r="N67" s="1">
        <f t="shared" si="4"/>
        <v>10</v>
      </c>
      <c r="O67" s="13">
        <f t="shared" si="5"/>
        <v>0.05</v>
      </c>
    </row>
    <row r="68" spans="1:15" x14ac:dyDescent="0.25">
      <c r="A68" s="2" t="s">
        <v>459</v>
      </c>
      <c r="B68" s="2" t="s">
        <v>460</v>
      </c>
      <c r="C68" s="3">
        <v>44020</v>
      </c>
      <c r="D68" s="12">
        <v>2.7199999999999998E-2</v>
      </c>
      <c r="E68" s="5">
        <v>44090</v>
      </c>
      <c r="F68" s="4">
        <v>18.5</v>
      </c>
      <c r="G68" s="5">
        <v>44372</v>
      </c>
      <c r="H68" s="1">
        <v>68.930000000000007</v>
      </c>
      <c r="I68" s="12">
        <f t="shared" ref="I68:I131" si="6">H68/F68-1</f>
        <v>2.7259459459459463</v>
      </c>
      <c r="J68" s="1">
        <f t="shared" ref="J68:J131" si="7">G68-E68</f>
        <v>282</v>
      </c>
      <c r="K68" s="13">
        <f t="shared" ref="K68:K131" si="8">I68/J68</f>
        <v>9.6664749856239223E-3</v>
      </c>
      <c r="L68" s="4">
        <f t="shared" ref="L68:L131" si="9">F68*1.5</f>
        <v>27.75</v>
      </c>
      <c r="M68" s="3">
        <v>44186</v>
      </c>
      <c r="N68" s="1">
        <f t="shared" ref="N68:N131" si="10">M68-E68+1</f>
        <v>97</v>
      </c>
      <c r="O68" s="13">
        <f t="shared" ref="O68:O131" si="11">50/100/N68</f>
        <v>5.1546391752577319E-3</v>
      </c>
    </row>
    <row r="69" spans="1:15" x14ac:dyDescent="0.25">
      <c r="A69" s="2" t="s">
        <v>101</v>
      </c>
      <c r="B69" s="2" t="s">
        <v>102</v>
      </c>
      <c r="C69" s="3">
        <v>44020</v>
      </c>
      <c r="D69" s="12">
        <v>0.16819999999999999</v>
      </c>
      <c r="E69" s="5">
        <v>44021</v>
      </c>
      <c r="F69" s="4">
        <v>10.41</v>
      </c>
      <c r="G69" s="5">
        <v>44237</v>
      </c>
      <c r="H69" s="1">
        <v>22.59</v>
      </c>
      <c r="I69" s="12">
        <f t="shared" si="6"/>
        <v>1.1700288184438041</v>
      </c>
      <c r="J69" s="1">
        <f t="shared" si="7"/>
        <v>216</v>
      </c>
      <c r="K69" s="13">
        <f t="shared" si="8"/>
        <v>5.4168000853879817E-3</v>
      </c>
      <c r="L69" s="4">
        <f t="shared" si="9"/>
        <v>15.615</v>
      </c>
      <c r="M69" s="3">
        <v>44054</v>
      </c>
      <c r="N69" s="1">
        <f t="shared" si="10"/>
        <v>34</v>
      </c>
      <c r="O69" s="13">
        <f t="shared" si="11"/>
        <v>1.4705882352941176E-2</v>
      </c>
    </row>
    <row r="70" spans="1:15" x14ac:dyDescent="0.25">
      <c r="A70" s="2" t="s">
        <v>531</v>
      </c>
      <c r="B70" s="2" t="s">
        <v>495</v>
      </c>
      <c r="C70" s="3">
        <v>44020</v>
      </c>
      <c r="D70" s="12">
        <v>0.2097</v>
      </c>
      <c r="E70" s="5">
        <v>44022</v>
      </c>
      <c r="F70" s="4">
        <v>3.52</v>
      </c>
      <c r="G70" s="5">
        <v>44062</v>
      </c>
      <c r="H70" s="1">
        <v>13.98</v>
      </c>
      <c r="I70" s="12">
        <f t="shared" si="6"/>
        <v>2.9715909090909092</v>
      </c>
      <c r="J70" s="1">
        <f t="shared" si="7"/>
        <v>40</v>
      </c>
      <c r="K70" s="13">
        <f t="shared" si="8"/>
        <v>7.4289772727272732E-2</v>
      </c>
      <c r="L70" s="4">
        <f t="shared" si="9"/>
        <v>5.28</v>
      </c>
      <c r="M70" s="3">
        <v>44034</v>
      </c>
      <c r="N70" s="1">
        <f t="shared" si="10"/>
        <v>13</v>
      </c>
      <c r="O70" s="13">
        <f t="shared" si="11"/>
        <v>3.8461538461538464E-2</v>
      </c>
    </row>
    <row r="71" spans="1:15" x14ac:dyDescent="0.25">
      <c r="A71" s="2" t="s">
        <v>66</v>
      </c>
      <c r="B71" s="2" t="s">
        <v>67</v>
      </c>
      <c r="C71" s="3">
        <v>44021</v>
      </c>
      <c r="D71" s="12">
        <v>0.39689999999999998</v>
      </c>
      <c r="E71" s="5">
        <v>44022</v>
      </c>
      <c r="F71" s="4">
        <v>1.91</v>
      </c>
      <c r="G71" s="5">
        <v>44350</v>
      </c>
      <c r="H71" s="1">
        <v>29.06</v>
      </c>
      <c r="I71" s="12">
        <f t="shared" si="6"/>
        <v>14.214659685863875</v>
      </c>
      <c r="J71" s="1">
        <f t="shared" si="7"/>
        <v>328</v>
      </c>
      <c r="K71" s="13">
        <f t="shared" si="8"/>
        <v>4.3337377091048401E-2</v>
      </c>
      <c r="L71" s="4">
        <f t="shared" si="9"/>
        <v>2.8649999999999998</v>
      </c>
      <c r="M71" s="3">
        <v>44034</v>
      </c>
      <c r="N71" s="1">
        <f t="shared" si="10"/>
        <v>13</v>
      </c>
      <c r="O71" s="13">
        <f t="shared" si="11"/>
        <v>3.8461538461538464E-2</v>
      </c>
    </row>
    <row r="72" spans="1:15" x14ac:dyDescent="0.25">
      <c r="A72" s="2" t="s">
        <v>428</v>
      </c>
      <c r="B72" s="2" t="s">
        <v>429</v>
      </c>
      <c r="C72" s="3">
        <v>44021</v>
      </c>
      <c r="D72" s="12">
        <v>1.8800000000000001E-2</v>
      </c>
      <c r="E72" s="5">
        <v>44022</v>
      </c>
      <c r="F72" s="4">
        <v>31.49</v>
      </c>
      <c r="G72" s="5">
        <v>44243</v>
      </c>
      <c r="H72" s="1">
        <v>101.12</v>
      </c>
      <c r="I72" s="12">
        <f t="shared" si="6"/>
        <v>2.2111781517942206</v>
      </c>
      <c r="J72" s="1">
        <f t="shared" si="7"/>
        <v>221</v>
      </c>
      <c r="K72" s="13">
        <f t="shared" si="8"/>
        <v>1.0005331003593758E-2</v>
      </c>
      <c r="L72" s="4">
        <f t="shared" si="9"/>
        <v>47.234999999999999</v>
      </c>
      <c r="M72" s="3">
        <v>44110</v>
      </c>
      <c r="N72" s="1">
        <f t="shared" si="10"/>
        <v>89</v>
      </c>
      <c r="O72" s="13">
        <f t="shared" si="11"/>
        <v>5.6179775280898875E-3</v>
      </c>
    </row>
    <row r="73" spans="1:15" x14ac:dyDescent="0.25">
      <c r="A73" s="2" t="s">
        <v>279</v>
      </c>
      <c r="B73" s="2" t="s">
        <v>280</v>
      </c>
      <c r="C73" s="3">
        <v>44022</v>
      </c>
      <c r="D73" s="12">
        <v>0.18290000000000001</v>
      </c>
      <c r="E73" s="5">
        <v>44025</v>
      </c>
      <c r="F73" s="4">
        <v>10.3</v>
      </c>
      <c r="G73" s="5">
        <v>44315</v>
      </c>
      <c r="H73" s="1">
        <v>25.74</v>
      </c>
      <c r="I73" s="12">
        <f t="shared" si="6"/>
        <v>1.4990291262135917</v>
      </c>
      <c r="J73" s="1">
        <f t="shared" si="7"/>
        <v>290</v>
      </c>
      <c r="K73" s="13">
        <f t="shared" si="8"/>
        <v>5.1690659524606612E-3</v>
      </c>
      <c r="L73" s="4">
        <f t="shared" si="9"/>
        <v>15.450000000000001</v>
      </c>
      <c r="M73" s="3">
        <v>44056</v>
      </c>
      <c r="N73" s="1">
        <f t="shared" si="10"/>
        <v>32</v>
      </c>
      <c r="O73" s="13">
        <f t="shared" si="11"/>
        <v>1.5625E-2</v>
      </c>
    </row>
    <row r="74" spans="1:15" x14ac:dyDescent="0.25">
      <c r="A74" s="2" t="s">
        <v>510</v>
      </c>
      <c r="B74" s="2" t="s">
        <v>511</v>
      </c>
      <c r="C74" s="3">
        <v>44026</v>
      </c>
      <c r="D74" s="12">
        <v>3.49E-2</v>
      </c>
      <c r="E74" s="5">
        <v>44027</v>
      </c>
      <c r="F74" s="4">
        <v>162.28</v>
      </c>
      <c r="G74" s="5">
        <v>44273</v>
      </c>
      <c r="H74" s="1">
        <v>383.94</v>
      </c>
      <c r="I74" s="12">
        <f t="shared" si="6"/>
        <v>1.365910771506039</v>
      </c>
      <c r="J74" s="1">
        <f t="shared" si="7"/>
        <v>246</v>
      </c>
      <c r="K74" s="13">
        <f t="shared" si="8"/>
        <v>5.5524828110001586E-3</v>
      </c>
      <c r="L74" s="4">
        <f t="shared" si="9"/>
        <v>243.42000000000002</v>
      </c>
      <c r="M74" s="3">
        <v>44144</v>
      </c>
      <c r="N74" s="1">
        <f t="shared" si="10"/>
        <v>118</v>
      </c>
      <c r="O74" s="13">
        <f t="shared" si="11"/>
        <v>4.2372881355932203E-3</v>
      </c>
    </row>
    <row r="75" spans="1:15" x14ac:dyDescent="0.25">
      <c r="A75" s="2" t="s">
        <v>157</v>
      </c>
      <c r="B75" s="2" t="s">
        <v>158</v>
      </c>
      <c r="C75" s="3">
        <v>44029</v>
      </c>
      <c r="D75" s="12">
        <v>5.8000000000000003E-2</v>
      </c>
      <c r="E75" s="5">
        <v>44032</v>
      </c>
      <c r="F75" s="4">
        <v>23.6</v>
      </c>
      <c r="G75" s="5">
        <v>44202</v>
      </c>
      <c r="H75" s="1">
        <v>66.599999999999994</v>
      </c>
      <c r="I75" s="12">
        <f t="shared" si="6"/>
        <v>1.8220338983050843</v>
      </c>
      <c r="J75" s="1">
        <f t="shared" si="7"/>
        <v>170</v>
      </c>
      <c r="K75" s="13">
        <f t="shared" si="8"/>
        <v>1.0717846460618144E-2</v>
      </c>
      <c r="L75" s="4">
        <f t="shared" si="9"/>
        <v>35.400000000000006</v>
      </c>
      <c r="M75" s="3">
        <v>44097</v>
      </c>
      <c r="N75" s="1">
        <f t="shared" si="10"/>
        <v>66</v>
      </c>
      <c r="O75" s="13">
        <f t="shared" si="11"/>
        <v>7.575757575757576E-3</v>
      </c>
    </row>
    <row r="76" spans="1:15" x14ac:dyDescent="0.25">
      <c r="A76" s="2" t="s">
        <v>316</v>
      </c>
      <c r="B76" s="2" t="s">
        <v>317</v>
      </c>
      <c r="C76" s="3">
        <v>44029</v>
      </c>
      <c r="D76" s="12">
        <v>3.8899999999999997E-2</v>
      </c>
      <c r="E76" s="5">
        <v>44032</v>
      </c>
      <c r="F76" s="4">
        <v>13.12</v>
      </c>
      <c r="G76" s="5">
        <v>44608</v>
      </c>
      <c r="H76" s="1">
        <v>52.34</v>
      </c>
      <c r="I76" s="12">
        <f t="shared" si="6"/>
        <v>2.9893292682926833</v>
      </c>
      <c r="J76" s="1">
        <f t="shared" si="7"/>
        <v>576</v>
      </c>
      <c r="K76" s="13">
        <f t="shared" si="8"/>
        <v>5.1898077574525749E-3</v>
      </c>
      <c r="L76" s="4">
        <f t="shared" si="9"/>
        <v>19.68</v>
      </c>
      <c r="M76" s="3">
        <v>44076</v>
      </c>
      <c r="N76" s="1">
        <f t="shared" si="10"/>
        <v>45</v>
      </c>
      <c r="O76" s="13">
        <f t="shared" si="11"/>
        <v>1.1111111111111112E-2</v>
      </c>
    </row>
    <row r="77" spans="1:15" x14ac:dyDescent="0.25">
      <c r="A77" s="2" t="s">
        <v>173</v>
      </c>
      <c r="B77" s="2" t="s">
        <v>174</v>
      </c>
      <c r="C77" s="3">
        <v>44032</v>
      </c>
      <c r="D77" s="12">
        <v>4.87E-2</v>
      </c>
      <c r="E77" s="5">
        <v>44033</v>
      </c>
      <c r="F77" s="4">
        <v>8.6199999999999992</v>
      </c>
      <c r="G77" s="5">
        <v>44243</v>
      </c>
      <c r="H77" s="1">
        <v>86.23</v>
      </c>
      <c r="I77" s="12">
        <f t="shared" si="6"/>
        <v>9.0034802784222752</v>
      </c>
      <c r="J77" s="1">
        <f t="shared" si="7"/>
        <v>210</v>
      </c>
      <c r="K77" s="13">
        <f t="shared" si="8"/>
        <v>4.2873715611534642E-2</v>
      </c>
      <c r="L77" s="4">
        <f t="shared" si="9"/>
        <v>12.93</v>
      </c>
      <c r="M77" s="3">
        <v>44050</v>
      </c>
      <c r="N77" s="1">
        <f t="shared" si="10"/>
        <v>18</v>
      </c>
      <c r="O77" s="13">
        <f t="shared" si="11"/>
        <v>2.7777777777777776E-2</v>
      </c>
    </row>
    <row r="78" spans="1:15" x14ac:dyDescent="0.25">
      <c r="A78" s="2" t="s">
        <v>253</v>
      </c>
      <c r="B78" s="2" t="s">
        <v>254</v>
      </c>
      <c r="C78" s="3">
        <v>44034</v>
      </c>
      <c r="D78" s="12">
        <v>0.33329999999999999</v>
      </c>
      <c r="E78" s="5">
        <v>44035</v>
      </c>
      <c r="F78" s="4">
        <v>177.6</v>
      </c>
      <c r="G78" s="5">
        <v>44270</v>
      </c>
      <c r="H78" s="1">
        <v>598</v>
      </c>
      <c r="I78" s="12">
        <f t="shared" si="6"/>
        <v>2.3671171171171173</v>
      </c>
      <c r="J78" s="1">
        <f t="shared" si="7"/>
        <v>235</v>
      </c>
      <c r="K78" s="13">
        <f t="shared" si="8"/>
        <v>1.0072838796243051E-2</v>
      </c>
      <c r="L78" s="4">
        <f t="shared" si="9"/>
        <v>266.39999999999998</v>
      </c>
      <c r="M78" s="3">
        <v>44067</v>
      </c>
      <c r="N78" s="1">
        <f t="shared" si="10"/>
        <v>33</v>
      </c>
      <c r="O78" s="13">
        <f t="shared" si="11"/>
        <v>1.5151515151515152E-2</v>
      </c>
    </row>
    <row r="79" spans="1:15" x14ac:dyDescent="0.25">
      <c r="A79" s="2" t="s">
        <v>412</v>
      </c>
      <c r="B79" s="2" t="s">
        <v>413</v>
      </c>
      <c r="C79" s="3">
        <v>44034</v>
      </c>
      <c r="D79" s="12">
        <v>9.2100000000000001E-2</v>
      </c>
      <c r="E79" s="5">
        <v>44035</v>
      </c>
      <c r="F79" s="4">
        <v>5.25</v>
      </c>
      <c r="G79" s="5">
        <v>44238</v>
      </c>
      <c r="H79" s="1">
        <v>17.07</v>
      </c>
      <c r="I79" s="12">
        <f t="shared" si="6"/>
        <v>2.2514285714285713</v>
      </c>
      <c r="J79" s="1">
        <f t="shared" si="7"/>
        <v>203</v>
      </c>
      <c r="K79" s="13">
        <f t="shared" si="8"/>
        <v>1.1090781140042224E-2</v>
      </c>
      <c r="L79" s="4">
        <f t="shared" si="9"/>
        <v>7.875</v>
      </c>
      <c r="M79" s="3">
        <v>44104</v>
      </c>
      <c r="N79" s="1">
        <f t="shared" si="10"/>
        <v>70</v>
      </c>
      <c r="O79" s="13">
        <f t="shared" si="11"/>
        <v>7.1428571428571426E-3</v>
      </c>
    </row>
    <row r="80" spans="1:15" x14ac:dyDescent="0.25">
      <c r="A80" s="2" t="s">
        <v>426</v>
      </c>
      <c r="B80" s="2" t="s">
        <v>427</v>
      </c>
      <c r="C80" s="3">
        <v>44034</v>
      </c>
      <c r="D80" s="12">
        <v>2.4400000000000002E-2</v>
      </c>
      <c r="E80" s="5">
        <v>44035</v>
      </c>
      <c r="F80" s="4">
        <v>111.82</v>
      </c>
      <c r="G80" s="5">
        <v>44419</v>
      </c>
      <c r="H80" s="1">
        <v>245.82</v>
      </c>
      <c r="I80" s="12">
        <f t="shared" si="6"/>
        <v>1.1983544983008407</v>
      </c>
      <c r="J80" s="1">
        <f t="shared" si="7"/>
        <v>384</v>
      </c>
      <c r="K80" s="13">
        <f t="shared" si="8"/>
        <v>3.1207148393251061E-3</v>
      </c>
      <c r="L80" s="4">
        <f t="shared" si="9"/>
        <v>167.73</v>
      </c>
      <c r="M80" s="3">
        <v>44202</v>
      </c>
      <c r="N80" s="1">
        <f t="shared" si="10"/>
        <v>168</v>
      </c>
      <c r="O80" s="13">
        <f t="shared" si="11"/>
        <v>2.976190476190476E-3</v>
      </c>
    </row>
    <row r="81" spans="1:15" x14ac:dyDescent="0.25">
      <c r="A81" s="2" t="s">
        <v>249</v>
      </c>
      <c r="B81" s="2" t="s">
        <v>250</v>
      </c>
      <c r="C81" s="3">
        <v>44040</v>
      </c>
      <c r="D81" s="12">
        <v>3.5299999999999998E-2</v>
      </c>
      <c r="E81" s="5">
        <v>44041</v>
      </c>
      <c r="F81" s="4">
        <v>79.900000000000006</v>
      </c>
      <c r="G81" s="5">
        <v>44518</v>
      </c>
      <c r="H81" s="1">
        <v>240.05</v>
      </c>
      <c r="I81" s="12">
        <f t="shared" si="6"/>
        <v>2.0043804755944929</v>
      </c>
      <c r="J81" s="1">
        <f t="shared" si="7"/>
        <v>477</v>
      </c>
      <c r="K81" s="13">
        <f t="shared" si="8"/>
        <v>4.2020555043909705E-3</v>
      </c>
      <c r="L81" s="4">
        <f t="shared" si="9"/>
        <v>119.85000000000001</v>
      </c>
      <c r="M81" s="3">
        <v>44140</v>
      </c>
      <c r="N81" s="1">
        <f t="shared" si="10"/>
        <v>100</v>
      </c>
      <c r="O81" s="13">
        <f t="shared" si="11"/>
        <v>5.0000000000000001E-3</v>
      </c>
    </row>
    <row r="82" spans="1:15" x14ac:dyDescent="0.25">
      <c r="A82" s="2" t="s">
        <v>287</v>
      </c>
      <c r="B82" s="2" t="s">
        <v>288</v>
      </c>
      <c r="C82" s="3">
        <v>44040</v>
      </c>
      <c r="D82" s="12">
        <v>0.1066</v>
      </c>
      <c r="E82" s="5">
        <v>44041</v>
      </c>
      <c r="F82" s="4">
        <v>8.16</v>
      </c>
      <c r="G82" s="5">
        <v>44244</v>
      </c>
      <c r="H82" s="1">
        <v>34.14</v>
      </c>
      <c r="I82" s="12">
        <f t="shared" si="6"/>
        <v>3.1838235294117645</v>
      </c>
      <c r="J82" s="1">
        <f t="shared" si="7"/>
        <v>203</v>
      </c>
      <c r="K82" s="13">
        <f t="shared" si="8"/>
        <v>1.5683859750796871E-2</v>
      </c>
      <c r="L82" s="4">
        <f t="shared" si="9"/>
        <v>12.24</v>
      </c>
      <c r="M82" s="3">
        <v>44048</v>
      </c>
      <c r="N82" s="1">
        <f t="shared" si="10"/>
        <v>8</v>
      </c>
      <c r="O82" s="13">
        <f t="shared" si="11"/>
        <v>6.25E-2</v>
      </c>
    </row>
    <row r="83" spans="1:15" x14ac:dyDescent="0.25">
      <c r="A83" s="2" t="s">
        <v>135</v>
      </c>
      <c r="B83" s="2" t="s">
        <v>136</v>
      </c>
      <c r="C83" s="3">
        <v>44042</v>
      </c>
      <c r="D83" s="12">
        <v>8.3900000000000002E-2</v>
      </c>
      <c r="E83" s="5">
        <v>44043</v>
      </c>
      <c r="F83" s="4">
        <v>48.7</v>
      </c>
      <c r="G83" s="5">
        <v>44426</v>
      </c>
      <c r="H83" s="1">
        <v>100</v>
      </c>
      <c r="I83" s="12">
        <f t="shared" si="6"/>
        <v>1.0533880903490758</v>
      </c>
      <c r="J83" s="1">
        <f t="shared" si="7"/>
        <v>383</v>
      </c>
      <c r="K83" s="13">
        <f t="shared" si="8"/>
        <v>2.7503605492142972E-3</v>
      </c>
      <c r="L83" s="4">
        <f t="shared" si="9"/>
        <v>73.050000000000011</v>
      </c>
      <c r="M83" s="3">
        <v>44194</v>
      </c>
      <c r="N83" s="1">
        <f t="shared" si="10"/>
        <v>152</v>
      </c>
      <c r="O83" s="13">
        <f t="shared" si="11"/>
        <v>3.2894736842105261E-3</v>
      </c>
    </row>
    <row r="84" spans="1:15" x14ac:dyDescent="0.25">
      <c r="A84" s="2" t="s">
        <v>64</v>
      </c>
      <c r="B84" s="2" t="s">
        <v>65</v>
      </c>
      <c r="C84" s="3">
        <v>44043</v>
      </c>
      <c r="D84" s="12">
        <v>0.2626</v>
      </c>
      <c r="E84" s="5">
        <v>44046</v>
      </c>
      <c r="F84" s="4">
        <v>9.8000000000000007</v>
      </c>
      <c r="G84" s="5">
        <v>44377</v>
      </c>
      <c r="H84" s="1">
        <v>40.369999999999997</v>
      </c>
      <c r="I84" s="12">
        <f t="shared" si="6"/>
        <v>3.1193877551020401</v>
      </c>
      <c r="J84" s="1">
        <f t="shared" si="7"/>
        <v>331</v>
      </c>
      <c r="K84" s="13">
        <f t="shared" si="8"/>
        <v>9.424132190640604E-3</v>
      </c>
      <c r="L84" s="4">
        <f t="shared" si="9"/>
        <v>14.700000000000001</v>
      </c>
      <c r="M84" s="3">
        <v>44076</v>
      </c>
      <c r="N84" s="1">
        <f t="shared" si="10"/>
        <v>31</v>
      </c>
      <c r="O84" s="13">
        <f t="shared" si="11"/>
        <v>1.6129032258064516E-2</v>
      </c>
    </row>
    <row r="85" spans="1:15" x14ac:dyDescent="0.25">
      <c r="A85" s="2" t="s">
        <v>358</v>
      </c>
      <c r="B85" s="2" t="s">
        <v>359</v>
      </c>
      <c r="C85" s="3">
        <v>44043</v>
      </c>
      <c r="D85" s="12">
        <v>0.36130000000000001</v>
      </c>
      <c r="E85" s="5">
        <v>44046</v>
      </c>
      <c r="F85" s="4">
        <v>34.6</v>
      </c>
      <c r="G85" s="5">
        <v>44233</v>
      </c>
      <c r="H85" s="1">
        <v>89.9</v>
      </c>
      <c r="I85" s="12">
        <f t="shared" si="6"/>
        <v>1.5982658959537575</v>
      </c>
      <c r="J85" s="1">
        <f t="shared" si="7"/>
        <v>187</v>
      </c>
      <c r="K85" s="13">
        <f t="shared" si="8"/>
        <v>8.5468764489505748E-3</v>
      </c>
      <c r="L85" s="4">
        <f t="shared" si="9"/>
        <v>51.900000000000006</v>
      </c>
      <c r="M85" s="3">
        <v>44125</v>
      </c>
      <c r="N85" s="1">
        <f t="shared" si="10"/>
        <v>80</v>
      </c>
      <c r="O85" s="13">
        <f t="shared" si="11"/>
        <v>6.2500000000000003E-3</v>
      </c>
    </row>
    <row r="86" spans="1:15" x14ac:dyDescent="0.25">
      <c r="A86" s="2" t="s">
        <v>477</v>
      </c>
      <c r="B86" s="2" t="s">
        <v>478</v>
      </c>
      <c r="C86" s="3">
        <v>44043</v>
      </c>
      <c r="D86" s="12">
        <v>0.13650000000000001</v>
      </c>
      <c r="E86" s="5">
        <v>44046</v>
      </c>
      <c r="F86" s="4">
        <v>3.83</v>
      </c>
      <c r="G86" s="5">
        <v>44208</v>
      </c>
      <c r="H86" s="1">
        <v>12.35</v>
      </c>
      <c r="I86" s="12">
        <f t="shared" si="6"/>
        <v>2.2245430809399478</v>
      </c>
      <c r="J86" s="1">
        <f t="shared" si="7"/>
        <v>162</v>
      </c>
      <c r="K86" s="13">
        <f t="shared" si="8"/>
        <v>1.3731747413209554E-2</v>
      </c>
      <c r="L86" s="4">
        <f t="shared" si="9"/>
        <v>5.7450000000000001</v>
      </c>
      <c r="M86" s="3">
        <v>44063</v>
      </c>
      <c r="N86" s="1">
        <f t="shared" si="10"/>
        <v>18</v>
      </c>
      <c r="O86" s="13">
        <f t="shared" si="11"/>
        <v>2.7777777777777776E-2</v>
      </c>
    </row>
    <row r="87" spans="1:15" x14ac:dyDescent="0.25">
      <c r="A87" s="2" t="s">
        <v>295</v>
      </c>
      <c r="B87" s="2" t="s">
        <v>296</v>
      </c>
      <c r="C87" s="3">
        <v>44046</v>
      </c>
      <c r="D87" s="12">
        <v>0.21</v>
      </c>
      <c r="E87" s="5">
        <v>44047</v>
      </c>
      <c r="F87" s="4">
        <v>211.5</v>
      </c>
      <c r="G87" s="5">
        <v>44096</v>
      </c>
      <c r="H87" s="1">
        <v>477</v>
      </c>
      <c r="I87" s="12">
        <f t="shared" si="6"/>
        <v>1.2553191489361701</v>
      </c>
      <c r="J87" s="1">
        <f t="shared" si="7"/>
        <v>49</v>
      </c>
      <c r="K87" s="13">
        <f t="shared" si="8"/>
        <v>2.5618758141554492E-2</v>
      </c>
      <c r="L87" s="4">
        <f t="shared" si="9"/>
        <v>317.25</v>
      </c>
      <c r="M87" s="3">
        <v>44083</v>
      </c>
      <c r="N87" s="1">
        <f t="shared" si="10"/>
        <v>37</v>
      </c>
      <c r="O87" s="13">
        <f t="shared" si="11"/>
        <v>1.3513513513513514E-2</v>
      </c>
    </row>
    <row r="88" spans="1:15" x14ac:dyDescent="0.25">
      <c r="A88" s="2" t="s">
        <v>121</v>
      </c>
      <c r="B88" s="2" t="s">
        <v>122</v>
      </c>
      <c r="C88" s="3">
        <v>44047</v>
      </c>
      <c r="D88" s="12">
        <v>0.30509999999999998</v>
      </c>
      <c r="E88" s="5">
        <v>44048</v>
      </c>
      <c r="F88" s="4">
        <v>450</v>
      </c>
      <c r="G88" s="5">
        <v>44061</v>
      </c>
      <c r="H88" s="1">
        <v>1107</v>
      </c>
      <c r="I88" s="12">
        <f t="shared" si="6"/>
        <v>1.46</v>
      </c>
      <c r="J88" s="1">
        <f t="shared" si="7"/>
        <v>13</v>
      </c>
      <c r="K88" s="13">
        <f t="shared" si="8"/>
        <v>0.1123076923076923</v>
      </c>
      <c r="L88" s="4">
        <f t="shared" si="9"/>
        <v>675</v>
      </c>
      <c r="M88" s="3">
        <v>44057</v>
      </c>
      <c r="N88" s="1">
        <f t="shared" si="10"/>
        <v>10</v>
      </c>
      <c r="O88" s="13">
        <f t="shared" si="11"/>
        <v>0.05</v>
      </c>
    </row>
    <row r="89" spans="1:15" x14ac:dyDescent="0.25">
      <c r="A89" s="2" t="s">
        <v>161</v>
      </c>
      <c r="B89" s="2" t="s">
        <v>162</v>
      </c>
      <c r="C89" s="3">
        <v>44047</v>
      </c>
      <c r="D89" s="12">
        <v>0.12640000000000001</v>
      </c>
      <c r="E89" s="5">
        <v>44048</v>
      </c>
      <c r="F89" s="4">
        <v>68.989999999999995</v>
      </c>
      <c r="G89" s="5">
        <v>44203</v>
      </c>
      <c r="H89" s="1">
        <v>222.43</v>
      </c>
      <c r="I89" s="12">
        <f t="shared" si="6"/>
        <v>2.2240904478909989</v>
      </c>
      <c r="J89" s="1">
        <f t="shared" si="7"/>
        <v>155</v>
      </c>
      <c r="K89" s="13">
        <f t="shared" si="8"/>
        <v>1.4348970631554832E-2</v>
      </c>
      <c r="L89" s="4">
        <f t="shared" si="9"/>
        <v>103.48499999999999</v>
      </c>
      <c r="M89" s="3">
        <v>44111</v>
      </c>
      <c r="N89" s="1">
        <f t="shared" si="10"/>
        <v>64</v>
      </c>
      <c r="O89" s="13">
        <f t="shared" si="11"/>
        <v>7.8125E-3</v>
      </c>
    </row>
    <row r="90" spans="1:15" x14ac:dyDescent="0.25">
      <c r="A90" s="2" t="s">
        <v>291</v>
      </c>
      <c r="B90" s="2" t="s">
        <v>292</v>
      </c>
      <c r="C90" s="3">
        <v>44047</v>
      </c>
      <c r="D90" s="12">
        <v>9.2499999999999999E-2</v>
      </c>
      <c r="E90" s="5">
        <v>44048</v>
      </c>
      <c r="F90" s="4">
        <v>4.49</v>
      </c>
      <c r="G90" s="5">
        <v>44218</v>
      </c>
      <c r="H90" s="1">
        <v>16.09</v>
      </c>
      <c r="I90" s="12">
        <f t="shared" si="6"/>
        <v>2.5835189309576836</v>
      </c>
      <c r="J90" s="1">
        <f t="shared" si="7"/>
        <v>170</v>
      </c>
      <c r="K90" s="13">
        <f t="shared" si="8"/>
        <v>1.5197170182104021E-2</v>
      </c>
      <c r="L90" s="4">
        <f t="shared" si="9"/>
        <v>6.7350000000000003</v>
      </c>
      <c r="M90" s="3">
        <v>44077</v>
      </c>
      <c r="N90" s="1">
        <f t="shared" si="10"/>
        <v>30</v>
      </c>
      <c r="O90" s="13">
        <f t="shared" si="11"/>
        <v>1.6666666666666666E-2</v>
      </c>
    </row>
    <row r="91" spans="1:15" x14ac:dyDescent="0.25">
      <c r="A91" s="2" t="s">
        <v>414</v>
      </c>
      <c r="B91" s="2" t="s">
        <v>415</v>
      </c>
      <c r="C91" s="3">
        <v>44047</v>
      </c>
      <c r="D91" s="12">
        <v>0.1222</v>
      </c>
      <c r="E91" s="5">
        <v>44048</v>
      </c>
      <c r="F91" s="4">
        <v>7.31</v>
      </c>
      <c r="G91" s="5">
        <v>44225</v>
      </c>
      <c r="H91" s="1">
        <v>57.52</v>
      </c>
      <c r="I91" s="12">
        <f t="shared" si="6"/>
        <v>6.8686730506155955</v>
      </c>
      <c r="J91" s="1">
        <f t="shared" si="7"/>
        <v>177</v>
      </c>
      <c r="K91" s="13">
        <f t="shared" si="8"/>
        <v>3.8806062432856475E-2</v>
      </c>
      <c r="L91" s="4">
        <f t="shared" si="9"/>
        <v>10.965</v>
      </c>
      <c r="M91" s="3">
        <v>44070</v>
      </c>
      <c r="N91" s="1">
        <f t="shared" si="10"/>
        <v>23</v>
      </c>
      <c r="O91" s="13">
        <f t="shared" si="11"/>
        <v>2.1739130434782608E-2</v>
      </c>
    </row>
    <row r="92" spans="1:15" x14ac:dyDescent="0.25">
      <c r="A92" s="2" t="s">
        <v>200</v>
      </c>
      <c r="B92" s="2" t="s">
        <v>201</v>
      </c>
      <c r="C92" s="3">
        <v>44048</v>
      </c>
      <c r="D92" s="12">
        <v>7.9500000000000001E-2</v>
      </c>
      <c r="E92" s="5">
        <v>44049</v>
      </c>
      <c r="F92" s="4">
        <v>13.5</v>
      </c>
      <c r="G92" s="5">
        <v>44326</v>
      </c>
      <c r="H92" s="1">
        <v>44.59</v>
      </c>
      <c r="I92" s="12">
        <f t="shared" si="6"/>
        <v>2.3029629629629631</v>
      </c>
      <c r="J92" s="1">
        <f t="shared" si="7"/>
        <v>277</v>
      </c>
      <c r="K92" s="13">
        <f t="shared" si="8"/>
        <v>8.3139457146677361E-3</v>
      </c>
      <c r="L92" s="4">
        <f t="shared" si="9"/>
        <v>20.25</v>
      </c>
      <c r="M92" s="3">
        <v>44144</v>
      </c>
      <c r="N92" s="1">
        <f t="shared" si="10"/>
        <v>96</v>
      </c>
      <c r="O92" s="13">
        <f t="shared" si="11"/>
        <v>5.208333333333333E-3</v>
      </c>
    </row>
    <row r="93" spans="1:15" x14ac:dyDescent="0.25">
      <c r="A93" s="2" t="s">
        <v>320</v>
      </c>
      <c r="B93" s="2" t="s">
        <v>321</v>
      </c>
      <c r="C93" s="3">
        <v>44049</v>
      </c>
      <c r="D93" s="12">
        <v>0.13</v>
      </c>
      <c r="E93" s="5">
        <v>44050</v>
      </c>
      <c r="F93" s="4">
        <v>3.6</v>
      </c>
      <c r="G93" s="5">
        <v>44308</v>
      </c>
      <c r="H93" s="1">
        <v>22.4</v>
      </c>
      <c r="I93" s="12">
        <f t="shared" si="6"/>
        <v>5.2222222222222214</v>
      </c>
      <c r="J93" s="1">
        <f t="shared" si="7"/>
        <v>258</v>
      </c>
      <c r="K93" s="13">
        <f t="shared" si="8"/>
        <v>2.0241171403962099E-2</v>
      </c>
      <c r="L93" s="4">
        <f t="shared" si="9"/>
        <v>5.4</v>
      </c>
      <c r="M93" s="3">
        <v>44067</v>
      </c>
      <c r="N93" s="1">
        <f t="shared" si="10"/>
        <v>18</v>
      </c>
      <c r="O93" s="13">
        <f t="shared" si="11"/>
        <v>2.7777777777777776E-2</v>
      </c>
    </row>
    <row r="94" spans="1:15" x14ac:dyDescent="0.25">
      <c r="A94" s="2" t="s">
        <v>360</v>
      </c>
      <c r="B94" s="2" t="s">
        <v>526</v>
      </c>
      <c r="C94" s="3">
        <v>44049</v>
      </c>
      <c r="D94" s="12">
        <v>0.2127</v>
      </c>
      <c r="E94" s="5">
        <v>44050</v>
      </c>
      <c r="F94" s="4">
        <v>8.9719999999999995</v>
      </c>
      <c r="G94" s="5">
        <v>44222</v>
      </c>
      <c r="H94" s="1">
        <v>59.8</v>
      </c>
      <c r="I94" s="12">
        <f t="shared" si="6"/>
        <v>5.6651805617476594</v>
      </c>
      <c r="J94" s="1">
        <f t="shared" si="7"/>
        <v>172</v>
      </c>
      <c r="K94" s="13">
        <f t="shared" si="8"/>
        <v>3.2937096289230576E-2</v>
      </c>
      <c r="L94" s="4">
        <f t="shared" si="9"/>
        <v>13.457999999999998</v>
      </c>
      <c r="M94" s="3">
        <v>44109</v>
      </c>
      <c r="N94" s="1">
        <f t="shared" si="10"/>
        <v>60</v>
      </c>
      <c r="O94" s="13">
        <f t="shared" si="11"/>
        <v>8.3333333333333332E-3</v>
      </c>
    </row>
    <row r="95" spans="1:15" x14ac:dyDescent="0.25">
      <c r="A95" s="2" t="s">
        <v>360</v>
      </c>
      <c r="B95" s="2" t="s">
        <v>361</v>
      </c>
      <c r="C95" s="3">
        <v>44049</v>
      </c>
      <c r="D95" s="12">
        <v>0.15010000000000001</v>
      </c>
      <c r="E95" s="5">
        <v>44050</v>
      </c>
      <c r="F95" s="4">
        <v>10.95</v>
      </c>
      <c r="G95" s="5">
        <v>44222</v>
      </c>
      <c r="H95" s="1">
        <v>75.489999999999995</v>
      </c>
      <c r="I95" s="12">
        <f t="shared" si="6"/>
        <v>5.894063926940639</v>
      </c>
      <c r="J95" s="1">
        <f t="shared" si="7"/>
        <v>172</v>
      </c>
      <c r="K95" s="13">
        <f t="shared" si="8"/>
        <v>3.4267813528724649E-2</v>
      </c>
      <c r="L95" s="4">
        <f t="shared" si="9"/>
        <v>16.424999999999997</v>
      </c>
      <c r="M95" s="3">
        <v>44110</v>
      </c>
      <c r="N95" s="1">
        <f t="shared" si="10"/>
        <v>61</v>
      </c>
      <c r="O95" s="13">
        <f t="shared" si="11"/>
        <v>8.1967213114754103E-3</v>
      </c>
    </row>
    <row r="96" spans="1:15" x14ac:dyDescent="0.25">
      <c r="A96" s="2" t="s">
        <v>91</v>
      </c>
      <c r="B96" s="2" t="s">
        <v>92</v>
      </c>
      <c r="C96" s="3">
        <v>44050</v>
      </c>
      <c r="D96" s="12">
        <v>7.1999999999999995E-2</v>
      </c>
      <c r="E96" s="5">
        <v>44053</v>
      </c>
      <c r="F96" s="4">
        <v>25.2</v>
      </c>
      <c r="G96" s="5">
        <v>44221</v>
      </c>
      <c r="H96" s="1">
        <v>67.39</v>
      </c>
      <c r="I96" s="12">
        <f t="shared" si="6"/>
        <v>1.6742063492063495</v>
      </c>
      <c r="J96" s="1">
        <f t="shared" si="7"/>
        <v>168</v>
      </c>
      <c r="K96" s="13">
        <f t="shared" si="8"/>
        <v>9.9655139833711281E-3</v>
      </c>
      <c r="L96" s="4">
        <f t="shared" si="9"/>
        <v>37.799999999999997</v>
      </c>
      <c r="M96" s="3">
        <v>44110</v>
      </c>
      <c r="N96" s="1">
        <f t="shared" si="10"/>
        <v>58</v>
      </c>
      <c r="O96" s="13">
        <f t="shared" si="11"/>
        <v>8.6206896551724137E-3</v>
      </c>
    </row>
    <row r="97" spans="1:15" x14ac:dyDescent="0.25">
      <c r="A97" s="2" t="s">
        <v>346</v>
      </c>
      <c r="B97" s="2" t="s">
        <v>347</v>
      </c>
      <c r="C97" s="3">
        <v>44050</v>
      </c>
      <c r="D97" s="12">
        <v>7.51E-2</v>
      </c>
      <c r="E97" s="5">
        <v>44091</v>
      </c>
      <c r="F97" s="4">
        <v>7.89</v>
      </c>
      <c r="G97" s="5">
        <v>44238</v>
      </c>
      <c r="H97" s="1">
        <v>53.69</v>
      </c>
      <c r="I97" s="12">
        <f t="shared" si="6"/>
        <v>5.8048162230671734</v>
      </c>
      <c r="J97" s="1">
        <f t="shared" si="7"/>
        <v>147</v>
      </c>
      <c r="K97" s="13">
        <f t="shared" si="8"/>
        <v>3.9488545735150836E-2</v>
      </c>
      <c r="L97" s="4">
        <f t="shared" si="9"/>
        <v>11.834999999999999</v>
      </c>
      <c r="M97" s="3">
        <v>44109</v>
      </c>
      <c r="N97" s="1">
        <f t="shared" si="10"/>
        <v>19</v>
      </c>
      <c r="O97" s="13">
        <f t="shared" si="11"/>
        <v>2.6315789473684209E-2</v>
      </c>
    </row>
    <row r="98" spans="1:15" x14ac:dyDescent="0.25">
      <c r="A98" s="2" t="s">
        <v>434</v>
      </c>
      <c r="B98" s="2" t="s">
        <v>435</v>
      </c>
      <c r="C98" s="3">
        <v>44050</v>
      </c>
      <c r="D98" s="12">
        <v>3.3099999999999997E-2</v>
      </c>
      <c r="E98" s="5">
        <v>44053</v>
      </c>
      <c r="F98" s="4">
        <v>8.8800000000000008</v>
      </c>
      <c r="G98" s="5">
        <v>44505</v>
      </c>
      <c r="H98" s="1">
        <v>38.78</v>
      </c>
      <c r="I98" s="12">
        <f t="shared" si="6"/>
        <v>3.3671171171171173</v>
      </c>
      <c r="J98" s="1">
        <f t="shared" si="7"/>
        <v>452</v>
      </c>
      <c r="K98" s="13">
        <f t="shared" si="8"/>
        <v>7.4493741529139765E-3</v>
      </c>
      <c r="L98" s="4">
        <f t="shared" si="9"/>
        <v>13.32</v>
      </c>
      <c r="M98" s="3">
        <v>44090</v>
      </c>
      <c r="N98" s="1">
        <f t="shared" si="10"/>
        <v>38</v>
      </c>
      <c r="O98" s="13">
        <f t="shared" si="11"/>
        <v>1.3157894736842105E-2</v>
      </c>
    </row>
    <row r="99" spans="1:15" x14ac:dyDescent="0.25">
      <c r="A99" s="2" t="s">
        <v>533</v>
      </c>
      <c r="B99" s="2" t="s">
        <v>458</v>
      </c>
      <c r="C99" s="3">
        <v>44054</v>
      </c>
      <c r="D99" s="12">
        <v>4.2099999999999999E-2</v>
      </c>
      <c r="E99" s="5">
        <v>44055</v>
      </c>
      <c r="F99" s="4">
        <v>11.81</v>
      </c>
      <c r="G99" s="5">
        <v>44673</v>
      </c>
      <c r="H99" s="1">
        <v>87.77</v>
      </c>
      <c r="I99" s="12">
        <f t="shared" si="6"/>
        <v>6.4318374259102447</v>
      </c>
      <c r="J99" s="1">
        <f t="shared" si="7"/>
        <v>618</v>
      </c>
      <c r="K99" s="13">
        <f t="shared" si="8"/>
        <v>1.0407503925421108E-2</v>
      </c>
      <c r="L99" s="4">
        <f t="shared" si="9"/>
        <v>17.715</v>
      </c>
      <c r="M99" s="3">
        <v>44096</v>
      </c>
      <c r="N99" s="1">
        <f t="shared" si="10"/>
        <v>42</v>
      </c>
      <c r="O99" s="13">
        <f t="shared" si="11"/>
        <v>1.1904761904761904E-2</v>
      </c>
    </row>
    <row r="100" spans="1:15" x14ac:dyDescent="0.25">
      <c r="A100" s="2" t="s">
        <v>111</v>
      </c>
      <c r="B100" s="2" t="s">
        <v>112</v>
      </c>
      <c r="C100" s="3">
        <v>44056</v>
      </c>
      <c r="D100" s="12">
        <v>0.14430000000000001</v>
      </c>
      <c r="E100" s="5">
        <v>44057</v>
      </c>
      <c r="F100" s="4">
        <v>10.99</v>
      </c>
      <c r="G100" s="5">
        <v>44376</v>
      </c>
      <c r="H100" s="1">
        <v>47.72</v>
      </c>
      <c r="I100" s="12">
        <f t="shared" si="6"/>
        <v>3.3421292083712464</v>
      </c>
      <c r="J100" s="1">
        <f t="shared" si="7"/>
        <v>319</v>
      </c>
      <c r="K100" s="13">
        <f t="shared" si="8"/>
        <v>1.0476894070129299E-2</v>
      </c>
      <c r="L100" s="4">
        <f t="shared" si="9"/>
        <v>16.484999999999999</v>
      </c>
      <c r="M100" s="3">
        <v>44074</v>
      </c>
      <c r="N100" s="1">
        <f t="shared" si="10"/>
        <v>18</v>
      </c>
      <c r="O100" s="13">
        <f t="shared" si="11"/>
        <v>2.7777777777777776E-2</v>
      </c>
    </row>
    <row r="101" spans="1:15" x14ac:dyDescent="0.25">
      <c r="A101" s="2" t="s">
        <v>223</v>
      </c>
      <c r="B101" s="2" t="s">
        <v>224</v>
      </c>
      <c r="C101" s="3">
        <v>44056</v>
      </c>
      <c r="D101" s="12">
        <v>0.4269</v>
      </c>
      <c r="E101" s="5">
        <v>44057</v>
      </c>
      <c r="F101" s="4">
        <v>12.22</v>
      </c>
      <c r="G101" s="5">
        <v>44237</v>
      </c>
      <c r="H101" s="1">
        <v>67.75</v>
      </c>
      <c r="I101" s="12">
        <f t="shared" si="6"/>
        <v>4.5441898527004909</v>
      </c>
      <c r="J101" s="1">
        <f t="shared" si="7"/>
        <v>180</v>
      </c>
      <c r="K101" s="13">
        <f t="shared" si="8"/>
        <v>2.5245499181669392E-2</v>
      </c>
      <c r="L101" s="4">
        <f t="shared" si="9"/>
        <v>18.330000000000002</v>
      </c>
      <c r="M101" s="3">
        <v>44061</v>
      </c>
      <c r="N101" s="1">
        <f t="shared" si="10"/>
        <v>5</v>
      </c>
      <c r="O101" s="13">
        <f t="shared" si="11"/>
        <v>0.1</v>
      </c>
    </row>
    <row r="102" spans="1:15" x14ac:dyDescent="0.25">
      <c r="A102" s="2" t="s">
        <v>89</v>
      </c>
      <c r="B102" s="2" t="s">
        <v>90</v>
      </c>
      <c r="C102" s="3">
        <v>44060</v>
      </c>
      <c r="D102" s="12">
        <v>0.2104</v>
      </c>
      <c r="E102" s="5">
        <v>44061</v>
      </c>
      <c r="F102" s="4">
        <v>15.94</v>
      </c>
      <c r="G102" s="5">
        <v>44299</v>
      </c>
      <c r="H102" s="1">
        <v>66.400000000000006</v>
      </c>
      <c r="I102" s="12">
        <f t="shared" si="6"/>
        <v>3.1656210790464243</v>
      </c>
      <c r="J102" s="1">
        <f t="shared" si="7"/>
        <v>238</v>
      </c>
      <c r="K102" s="13">
        <f t="shared" si="8"/>
        <v>1.3300928903556405E-2</v>
      </c>
      <c r="L102" s="4">
        <f t="shared" si="9"/>
        <v>23.91</v>
      </c>
      <c r="M102" s="3">
        <v>44123</v>
      </c>
      <c r="N102" s="1">
        <f t="shared" si="10"/>
        <v>63</v>
      </c>
      <c r="O102" s="13">
        <f t="shared" si="11"/>
        <v>7.9365079365079361E-3</v>
      </c>
    </row>
    <row r="103" spans="1:15" x14ac:dyDescent="0.25">
      <c r="A103" s="2" t="s">
        <v>461</v>
      </c>
      <c r="B103" s="2" t="s">
        <v>462</v>
      </c>
      <c r="C103" s="3">
        <v>44060</v>
      </c>
      <c r="D103" s="12">
        <v>0.21820000000000001</v>
      </c>
      <c r="E103" s="5">
        <v>44061</v>
      </c>
      <c r="F103" s="4">
        <v>26.6</v>
      </c>
      <c r="G103" s="5">
        <v>44113</v>
      </c>
      <c r="H103" s="1">
        <v>243.3</v>
      </c>
      <c r="I103" s="12">
        <f t="shared" si="6"/>
        <v>8.1466165413533833</v>
      </c>
      <c r="J103" s="1">
        <f t="shared" si="7"/>
        <v>52</v>
      </c>
      <c r="K103" s="13">
        <f t="shared" si="8"/>
        <v>0.1566657027183343</v>
      </c>
      <c r="L103" s="4">
        <f t="shared" si="9"/>
        <v>39.900000000000006</v>
      </c>
      <c r="M103" s="3">
        <v>44062</v>
      </c>
      <c r="N103" s="1">
        <f t="shared" si="10"/>
        <v>2</v>
      </c>
      <c r="O103" s="13">
        <f t="shared" si="11"/>
        <v>0.25</v>
      </c>
    </row>
    <row r="104" spans="1:15" x14ac:dyDescent="0.25">
      <c r="A104" s="2" t="s">
        <v>390</v>
      </c>
      <c r="B104" s="2" t="s">
        <v>391</v>
      </c>
      <c r="C104" s="3">
        <v>44062</v>
      </c>
      <c r="D104" s="12">
        <v>0.1462</v>
      </c>
      <c r="E104" s="5">
        <v>44063</v>
      </c>
      <c r="F104" s="4">
        <v>0.73699999999999999</v>
      </c>
      <c r="G104" s="5">
        <v>44236</v>
      </c>
      <c r="H104" s="1">
        <v>3.85</v>
      </c>
      <c r="I104" s="12">
        <f t="shared" si="6"/>
        <v>4.2238805970149258</v>
      </c>
      <c r="J104" s="1">
        <f t="shared" si="7"/>
        <v>173</v>
      </c>
      <c r="K104" s="13">
        <f t="shared" si="8"/>
        <v>2.4415494780433096E-2</v>
      </c>
      <c r="L104" s="4">
        <f t="shared" si="9"/>
        <v>1.1054999999999999</v>
      </c>
      <c r="M104" s="3">
        <v>44127</v>
      </c>
      <c r="N104" s="1">
        <f t="shared" si="10"/>
        <v>65</v>
      </c>
      <c r="O104" s="13">
        <f t="shared" si="11"/>
        <v>7.6923076923076927E-3</v>
      </c>
    </row>
    <row r="105" spans="1:15" x14ac:dyDescent="0.25">
      <c r="A105" s="2" t="s">
        <v>151</v>
      </c>
      <c r="B105" s="2" t="s">
        <v>152</v>
      </c>
      <c r="C105" s="3">
        <v>44068</v>
      </c>
      <c r="D105" s="12">
        <v>0.68210000000000004</v>
      </c>
      <c r="E105" s="5">
        <v>44069</v>
      </c>
      <c r="F105" s="4">
        <v>0.12</v>
      </c>
      <c r="G105" s="5">
        <v>44095</v>
      </c>
      <c r="H105" s="1">
        <v>0.47799999999999998</v>
      </c>
      <c r="I105" s="12">
        <f t="shared" si="6"/>
        <v>2.9833333333333334</v>
      </c>
      <c r="J105" s="1">
        <f t="shared" si="7"/>
        <v>26</v>
      </c>
      <c r="K105" s="13">
        <f t="shared" si="8"/>
        <v>0.11474358974358975</v>
      </c>
      <c r="L105" s="4">
        <f t="shared" si="9"/>
        <v>0.18</v>
      </c>
      <c r="M105" s="3">
        <v>44074</v>
      </c>
      <c r="N105" s="1">
        <f t="shared" si="10"/>
        <v>6</v>
      </c>
      <c r="O105" s="13">
        <f t="shared" si="11"/>
        <v>8.3333333333333329E-2</v>
      </c>
    </row>
    <row r="106" spans="1:15" x14ac:dyDescent="0.25">
      <c r="A106" s="2" t="s">
        <v>452</v>
      </c>
      <c r="B106" s="2" t="s">
        <v>453</v>
      </c>
      <c r="C106" s="3">
        <v>44068</v>
      </c>
      <c r="D106" s="12">
        <v>7.9500000000000001E-2</v>
      </c>
      <c r="E106" s="5">
        <v>44069</v>
      </c>
      <c r="F106" s="4">
        <v>14.96</v>
      </c>
      <c r="G106" s="5">
        <v>44320</v>
      </c>
      <c r="H106" s="1">
        <v>29.02</v>
      </c>
      <c r="I106" s="12">
        <f t="shared" si="6"/>
        <v>0.93983957219251324</v>
      </c>
      <c r="J106" s="1">
        <f t="shared" si="7"/>
        <v>251</v>
      </c>
      <c r="K106" s="13">
        <f t="shared" si="8"/>
        <v>3.744380765707224E-3</v>
      </c>
      <c r="L106" s="4">
        <f t="shared" si="9"/>
        <v>22.44</v>
      </c>
      <c r="M106" s="3">
        <v>44200</v>
      </c>
      <c r="N106" s="1">
        <f t="shared" si="10"/>
        <v>132</v>
      </c>
      <c r="O106" s="13">
        <f t="shared" si="11"/>
        <v>3.787878787878788E-3</v>
      </c>
    </row>
    <row r="107" spans="1:15" x14ac:dyDescent="0.25">
      <c r="A107" s="2" t="s">
        <v>507</v>
      </c>
      <c r="B107" s="2" t="s">
        <v>506</v>
      </c>
      <c r="C107" s="3">
        <v>44075</v>
      </c>
      <c r="D107" s="12">
        <v>4.6600000000000003E-2</v>
      </c>
      <c r="E107" s="5">
        <v>44076</v>
      </c>
      <c r="F107" s="4">
        <v>20.190000000000001</v>
      </c>
      <c r="G107" s="5">
        <v>44312</v>
      </c>
      <c r="H107" s="1">
        <v>111.44</v>
      </c>
      <c r="I107" s="12">
        <f t="shared" si="6"/>
        <v>4.5195641406636948</v>
      </c>
      <c r="J107" s="1">
        <f t="shared" si="7"/>
        <v>236</v>
      </c>
      <c r="K107" s="13">
        <f t="shared" si="8"/>
        <v>1.9150695511286842E-2</v>
      </c>
      <c r="L107" s="4">
        <f t="shared" si="9"/>
        <v>30.285000000000004</v>
      </c>
      <c r="M107" s="3">
        <v>44144</v>
      </c>
      <c r="N107" s="1">
        <f t="shared" si="10"/>
        <v>69</v>
      </c>
      <c r="O107" s="13">
        <f t="shared" si="11"/>
        <v>7.246376811594203E-3</v>
      </c>
    </row>
    <row r="108" spans="1:15" x14ac:dyDescent="0.25">
      <c r="A108" s="2" t="s">
        <v>440</v>
      </c>
      <c r="B108" s="2" t="s">
        <v>441</v>
      </c>
      <c r="C108" s="3">
        <v>44075</v>
      </c>
      <c r="D108" s="12">
        <v>0.1062</v>
      </c>
      <c r="E108" s="5">
        <v>44141</v>
      </c>
      <c r="F108" s="4">
        <v>5.47</v>
      </c>
      <c r="G108" s="5">
        <v>44200</v>
      </c>
      <c r="H108" s="1">
        <v>12.19</v>
      </c>
      <c r="I108" s="12">
        <f t="shared" si="6"/>
        <v>1.2285191956124315</v>
      </c>
      <c r="J108" s="1">
        <f t="shared" si="7"/>
        <v>59</v>
      </c>
      <c r="K108" s="13">
        <f t="shared" si="8"/>
        <v>2.0822359247668329E-2</v>
      </c>
      <c r="L108" s="4">
        <f t="shared" si="9"/>
        <v>8.2050000000000001</v>
      </c>
      <c r="M108" s="3">
        <v>44154</v>
      </c>
      <c r="N108" s="1">
        <f t="shared" si="10"/>
        <v>14</v>
      </c>
      <c r="O108" s="13">
        <f t="shared" si="11"/>
        <v>3.5714285714285712E-2</v>
      </c>
    </row>
    <row r="109" spans="1:15" x14ac:dyDescent="0.25">
      <c r="A109" s="2" t="s">
        <v>500</v>
      </c>
      <c r="B109" s="2" t="s">
        <v>499</v>
      </c>
      <c r="C109" s="3">
        <v>44076</v>
      </c>
      <c r="D109" s="12">
        <v>8.4400000000000003E-2</v>
      </c>
      <c r="E109" s="5">
        <v>44077</v>
      </c>
      <c r="F109" s="4">
        <v>14.18</v>
      </c>
      <c r="G109" s="5">
        <v>44231</v>
      </c>
      <c r="H109" s="1">
        <v>25.99</v>
      </c>
      <c r="I109" s="12">
        <f t="shared" si="6"/>
        <v>0.83286318758815225</v>
      </c>
      <c r="J109" s="1">
        <f t="shared" si="7"/>
        <v>154</v>
      </c>
      <c r="K109" s="13">
        <f t="shared" si="8"/>
        <v>5.4082025168061838E-3</v>
      </c>
      <c r="L109" s="4">
        <f t="shared" si="9"/>
        <v>21.27</v>
      </c>
      <c r="M109" s="3">
        <v>44174</v>
      </c>
      <c r="N109" s="1">
        <f t="shared" si="10"/>
        <v>98</v>
      </c>
      <c r="O109" s="13">
        <f t="shared" si="11"/>
        <v>5.1020408163265302E-3</v>
      </c>
    </row>
    <row r="110" spans="1:15" x14ac:dyDescent="0.25">
      <c r="A110" s="2" t="s">
        <v>271</v>
      </c>
      <c r="B110" s="2" t="s">
        <v>272</v>
      </c>
      <c r="C110" s="3">
        <v>44078</v>
      </c>
      <c r="D110" s="12">
        <v>4.5600000000000002E-2</v>
      </c>
      <c r="E110" s="5">
        <v>44082</v>
      </c>
      <c r="F110" s="4">
        <v>20.71</v>
      </c>
      <c r="G110" s="5">
        <v>44322</v>
      </c>
      <c r="H110" s="1">
        <v>61.31</v>
      </c>
      <c r="I110" s="12">
        <f t="shared" si="6"/>
        <v>1.9604056011588606</v>
      </c>
      <c r="J110" s="1">
        <f t="shared" si="7"/>
        <v>240</v>
      </c>
      <c r="K110" s="13">
        <f t="shared" si="8"/>
        <v>8.1683566714952534E-3</v>
      </c>
      <c r="L110" s="4">
        <f t="shared" si="9"/>
        <v>31.065000000000001</v>
      </c>
      <c r="M110" s="3">
        <v>44133</v>
      </c>
      <c r="N110" s="1">
        <f t="shared" si="10"/>
        <v>52</v>
      </c>
      <c r="O110" s="13">
        <f t="shared" si="11"/>
        <v>9.6153846153846159E-3</v>
      </c>
    </row>
    <row r="111" spans="1:15" x14ac:dyDescent="0.25">
      <c r="A111" s="2" t="s">
        <v>396</v>
      </c>
      <c r="B111" s="2" t="s">
        <v>397</v>
      </c>
      <c r="C111" s="3">
        <v>44081</v>
      </c>
      <c r="D111" s="12">
        <v>7.0599999999999996E-2</v>
      </c>
      <c r="E111" s="5">
        <v>44082</v>
      </c>
      <c r="F111" s="4">
        <v>8.85</v>
      </c>
      <c r="G111" s="5">
        <v>44242</v>
      </c>
      <c r="H111" s="1">
        <v>29.7</v>
      </c>
      <c r="I111" s="12">
        <f t="shared" si="6"/>
        <v>2.3559322033898304</v>
      </c>
      <c r="J111" s="1">
        <f t="shared" si="7"/>
        <v>160</v>
      </c>
      <c r="K111" s="13">
        <f t="shared" si="8"/>
        <v>1.4724576271186441E-2</v>
      </c>
      <c r="L111" s="4">
        <f t="shared" si="9"/>
        <v>13.274999999999999</v>
      </c>
      <c r="M111" s="3">
        <v>44144</v>
      </c>
      <c r="N111" s="1">
        <f t="shared" si="10"/>
        <v>63</v>
      </c>
      <c r="O111" s="13">
        <f t="shared" si="11"/>
        <v>7.9365079365079361E-3</v>
      </c>
    </row>
    <row r="112" spans="1:15" x14ac:dyDescent="0.25">
      <c r="A112" s="2" t="s">
        <v>131</v>
      </c>
      <c r="B112" s="2" t="s">
        <v>132</v>
      </c>
      <c r="C112" s="3">
        <v>44084</v>
      </c>
      <c r="D112" s="12">
        <v>2.9999999999999997E-4</v>
      </c>
      <c r="E112" s="5">
        <v>44085</v>
      </c>
      <c r="F112" s="4">
        <v>34.04</v>
      </c>
      <c r="G112" s="5">
        <v>44237</v>
      </c>
      <c r="H112" s="1">
        <v>79.64</v>
      </c>
      <c r="I112" s="12">
        <f t="shared" si="6"/>
        <v>1.3396004700352528</v>
      </c>
      <c r="J112" s="1">
        <f t="shared" si="7"/>
        <v>152</v>
      </c>
      <c r="K112" s="13">
        <f t="shared" si="8"/>
        <v>8.8131609870740323E-3</v>
      </c>
      <c r="L112" s="4">
        <f t="shared" si="9"/>
        <v>51.06</v>
      </c>
      <c r="M112" s="3">
        <v>44174</v>
      </c>
      <c r="N112" s="1">
        <f t="shared" si="10"/>
        <v>90</v>
      </c>
      <c r="O112" s="13">
        <f t="shared" si="11"/>
        <v>5.5555555555555558E-3</v>
      </c>
    </row>
    <row r="113" spans="1:15" x14ac:dyDescent="0.25">
      <c r="A113" s="2" t="s">
        <v>364</v>
      </c>
      <c r="B113" s="2" t="s">
        <v>365</v>
      </c>
      <c r="C113" s="3">
        <v>44085</v>
      </c>
      <c r="D113" s="12">
        <v>0.1449</v>
      </c>
      <c r="E113" s="5">
        <v>44088</v>
      </c>
      <c r="F113" s="4">
        <v>3.34</v>
      </c>
      <c r="G113" s="5">
        <v>44211</v>
      </c>
      <c r="H113" s="1">
        <v>16.04</v>
      </c>
      <c r="I113" s="12">
        <f t="shared" si="6"/>
        <v>3.8023952095808387</v>
      </c>
      <c r="J113" s="1">
        <f t="shared" si="7"/>
        <v>123</v>
      </c>
      <c r="K113" s="13">
        <f t="shared" si="8"/>
        <v>3.0913782191714135E-2</v>
      </c>
      <c r="L113" s="4">
        <f t="shared" si="9"/>
        <v>5.01</v>
      </c>
      <c r="M113" s="3">
        <v>44106</v>
      </c>
      <c r="N113" s="1">
        <f t="shared" si="10"/>
        <v>19</v>
      </c>
      <c r="O113" s="13">
        <f t="shared" si="11"/>
        <v>2.6315789473684209E-2</v>
      </c>
    </row>
    <row r="114" spans="1:15" x14ac:dyDescent="0.25">
      <c r="A114" s="2" t="s">
        <v>475</v>
      </c>
      <c r="B114" s="2" t="s">
        <v>476</v>
      </c>
      <c r="C114" s="3">
        <v>44085</v>
      </c>
      <c r="D114" s="12">
        <v>2.1100000000000001E-2</v>
      </c>
      <c r="E114" s="5">
        <v>44088</v>
      </c>
      <c r="F114" s="4">
        <v>4.51</v>
      </c>
      <c r="G114" s="5">
        <v>44488</v>
      </c>
      <c r="H114" s="1">
        <v>9.82</v>
      </c>
      <c r="I114" s="12">
        <f t="shared" si="6"/>
        <v>1.1773835920177387</v>
      </c>
      <c r="J114" s="1">
        <f t="shared" si="7"/>
        <v>400</v>
      </c>
      <c r="K114" s="13">
        <f t="shared" si="8"/>
        <v>2.9434589800443468E-3</v>
      </c>
      <c r="L114" s="4">
        <f t="shared" si="9"/>
        <v>6.7649999999999997</v>
      </c>
      <c r="M114" s="3">
        <v>44302</v>
      </c>
      <c r="N114" s="1">
        <f t="shared" si="10"/>
        <v>215</v>
      </c>
      <c r="O114" s="13">
        <f t="shared" si="11"/>
        <v>2.3255813953488372E-3</v>
      </c>
    </row>
    <row r="115" spans="1:15" x14ac:dyDescent="0.25">
      <c r="A115" s="2" t="s">
        <v>123</v>
      </c>
      <c r="B115" s="2" t="s">
        <v>124</v>
      </c>
      <c r="C115" s="3">
        <v>44088</v>
      </c>
      <c r="D115" s="12">
        <v>0.16669999999999999</v>
      </c>
      <c r="E115" s="5">
        <v>44089</v>
      </c>
      <c r="F115" s="4">
        <v>4.95</v>
      </c>
      <c r="G115" s="5">
        <v>44271</v>
      </c>
      <c r="H115" s="1">
        <v>19.309999999999999</v>
      </c>
      <c r="I115" s="12">
        <f t="shared" si="6"/>
        <v>2.9010101010101006</v>
      </c>
      <c r="J115" s="1">
        <f t="shared" si="7"/>
        <v>182</v>
      </c>
      <c r="K115" s="13">
        <f t="shared" si="8"/>
        <v>1.5939615939615938E-2</v>
      </c>
      <c r="L115" s="4">
        <f t="shared" si="9"/>
        <v>7.4250000000000007</v>
      </c>
      <c r="M115" s="3">
        <v>44105</v>
      </c>
      <c r="N115" s="1">
        <f t="shared" si="10"/>
        <v>17</v>
      </c>
      <c r="O115" s="13">
        <f t="shared" si="11"/>
        <v>2.9411764705882353E-2</v>
      </c>
    </row>
    <row r="116" spans="1:15" x14ac:dyDescent="0.25">
      <c r="A116" s="2" t="s">
        <v>127</v>
      </c>
      <c r="B116" s="2" t="s">
        <v>128</v>
      </c>
      <c r="C116" s="3">
        <v>44088</v>
      </c>
      <c r="D116" s="12">
        <v>9.9599999999999994E-2</v>
      </c>
      <c r="E116" s="5">
        <v>44089</v>
      </c>
      <c r="F116" s="4">
        <v>5.1100000000000003</v>
      </c>
      <c r="G116" s="5">
        <v>44441</v>
      </c>
      <c r="H116" s="1">
        <v>79.91</v>
      </c>
      <c r="I116" s="12">
        <f t="shared" si="6"/>
        <v>14.637964774951074</v>
      </c>
      <c r="J116" s="1">
        <f t="shared" si="7"/>
        <v>352</v>
      </c>
      <c r="K116" s="13">
        <f t="shared" si="8"/>
        <v>4.1585127201565548E-2</v>
      </c>
      <c r="L116" s="4">
        <f t="shared" si="9"/>
        <v>7.6650000000000009</v>
      </c>
      <c r="M116" s="3">
        <v>44106</v>
      </c>
      <c r="N116" s="1">
        <f t="shared" si="10"/>
        <v>18</v>
      </c>
      <c r="O116" s="13">
        <f t="shared" si="11"/>
        <v>2.7777777777777776E-2</v>
      </c>
    </row>
    <row r="117" spans="1:15" x14ac:dyDescent="0.25">
      <c r="A117" s="2" t="s">
        <v>285</v>
      </c>
      <c r="B117" s="2" t="s">
        <v>286</v>
      </c>
      <c r="C117" s="3">
        <v>44088</v>
      </c>
      <c r="D117" s="12">
        <v>0.39329999999999998</v>
      </c>
      <c r="E117" s="5">
        <v>44089</v>
      </c>
      <c r="F117" s="4">
        <v>27.12</v>
      </c>
      <c r="G117" s="5">
        <v>44496</v>
      </c>
      <c r="H117" s="1">
        <v>90.2</v>
      </c>
      <c r="I117" s="12">
        <f t="shared" si="6"/>
        <v>2.3259587020648969</v>
      </c>
      <c r="J117" s="1">
        <f t="shared" si="7"/>
        <v>407</v>
      </c>
      <c r="K117" s="13">
        <f t="shared" si="8"/>
        <v>5.7148862458596978E-3</v>
      </c>
      <c r="L117" s="4">
        <f t="shared" si="9"/>
        <v>40.68</v>
      </c>
      <c r="M117" s="3">
        <v>44144</v>
      </c>
      <c r="N117" s="1">
        <f t="shared" si="10"/>
        <v>56</v>
      </c>
      <c r="O117" s="13">
        <f t="shared" si="11"/>
        <v>8.9285714285714281E-3</v>
      </c>
    </row>
    <row r="118" spans="1:15" x14ac:dyDescent="0.25">
      <c r="A118" s="2" t="s">
        <v>107</v>
      </c>
      <c r="B118" s="2" t="s">
        <v>108</v>
      </c>
      <c r="C118" s="3">
        <v>44090</v>
      </c>
      <c r="D118" s="12">
        <v>0.2727</v>
      </c>
      <c r="E118" s="5">
        <v>44091</v>
      </c>
      <c r="F118" s="4">
        <v>13.93</v>
      </c>
      <c r="G118" s="5">
        <v>44189</v>
      </c>
      <c r="H118" s="1">
        <v>49.48</v>
      </c>
      <c r="I118" s="12">
        <f t="shared" si="6"/>
        <v>2.552045944005743</v>
      </c>
      <c r="J118" s="1">
        <f t="shared" si="7"/>
        <v>98</v>
      </c>
      <c r="K118" s="13">
        <f t="shared" si="8"/>
        <v>2.6041285142915746E-2</v>
      </c>
      <c r="L118" s="4">
        <f t="shared" si="9"/>
        <v>20.895</v>
      </c>
      <c r="M118" s="3">
        <v>44152</v>
      </c>
      <c r="N118" s="1">
        <f t="shared" si="10"/>
        <v>62</v>
      </c>
      <c r="O118" s="13">
        <f t="shared" si="11"/>
        <v>8.0645161290322578E-3</v>
      </c>
    </row>
    <row r="119" spans="1:15" x14ac:dyDescent="0.25">
      <c r="A119" s="2" t="s">
        <v>257</v>
      </c>
      <c r="B119" s="2" t="s">
        <v>258</v>
      </c>
      <c r="C119" s="3">
        <v>44092</v>
      </c>
      <c r="D119" s="12">
        <v>4.5699999999999998E-2</v>
      </c>
      <c r="E119" s="5">
        <v>44095</v>
      </c>
      <c r="F119" s="4">
        <v>22.42</v>
      </c>
      <c r="G119" s="5">
        <v>44125</v>
      </c>
      <c r="H119" s="1">
        <v>83.46</v>
      </c>
      <c r="I119" s="12">
        <f t="shared" si="6"/>
        <v>2.7225691347011591</v>
      </c>
      <c r="J119" s="1">
        <f t="shared" si="7"/>
        <v>30</v>
      </c>
      <c r="K119" s="13">
        <f t="shared" si="8"/>
        <v>9.0752304490038641E-2</v>
      </c>
      <c r="L119" s="4">
        <f t="shared" si="9"/>
        <v>33.630000000000003</v>
      </c>
      <c r="M119" s="3">
        <v>44102</v>
      </c>
      <c r="N119" s="1">
        <f t="shared" si="10"/>
        <v>8</v>
      </c>
      <c r="O119" s="13">
        <f t="shared" si="11"/>
        <v>6.25E-2</v>
      </c>
    </row>
    <row r="120" spans="1:15" x14ac:dyDescent="0.25">
      <c r="A120" s="2" t="s">
        <v>385</v>
      </c>
      <c r="B120" s="2" t="s">
        <v>385</v>
      </c>
      <c r="C120" s="3">
        <v>44095</v>
      </c>
      <c r="D120" s="12">
        <v>0.1767</v>
      </c>
      <c r="E120" s="5">
        <v>44096</v>
      </c>
      <c r="F120" s="4">
        <v>187.38</v>
      </c>
      <c r="G120" s="5">
        <v>44243</v>
      </c>
      <c r="H120" s="1">
        <v>486.72</v>
      </c>
      <c r="I120" s="12">
        <f t="shared" si="6"/>
        <v>1.5975024015369841</v>
      </c>
      <c r="J120" s="1">
        <f t="shared" si="7"/>
        <v>147</v>
      </c>
      <c r="K120" s="13">
        <f t="shared" si="8"/>
        <v>1.0867363275761797E-2</v>
      </c>
      <c r="L120" s="4">
        <f t="shared" si="9"/>
        <v>281.07</v>
      </c>
      <c r="M120" s="3">
        <v>44159</v>
      </c>
      <c r="N120" s="1">
        <f t="shared" si="10"/>
        <v>64</v>
      </c>
      <c r="O120" s="13">
        <f t="shared" si="11"/>
        <v>7.8125E-3</v>
      </c>
    </row>
    <row r="121" spans="1:15" x14ac:dyDescent="0.25">
      <c r="A121" s="2" t="s">
        <v>236</v>
      </c>
      <c r="B121" s="2" t="s">
        <v>237</v>
      </c>
      <c r="C121" s="3">
        <v>44097</v>
      </c>
      <c r="D121" s="12">
        <v>0.1196</v>
      </c>
      <c r="E121" s="5">
        <v>44098</v>
      </c>
      <c r="F121" s="4">
        <v>6.89</v>
      </c>
      <c r="G121" s="5">
        <v>44371</v>
      </c>
      <c r="H121" s="1">
        <v>22.15</v>
      </c>
      <c r="I121" s="12">
        <f t="shared" si="6"/>
        <v>2.2148040638606674</v>
      </c>
      <c r="J121" s="1">
        <f t="shared" si="7"/>
        <v>273</v>
      </c>
      <c r="K121" s="13">
        <f t="shared" si="8"/>
        <v>8.1128353987570227E-3</v>
      </c>
      <c r="L121" s="4">
        <f t="shared" si="9"/>
        <v>10.334999999999999</v>
      </c>
      <c r="M121" s="3">
        <v>44208</v>
      </c>
      <c r="N121" s="1">
        <f t="shared" si="10"/>
        <v>111</v>
      </c>
      <c r="O121" s="13">
        <f t="shared" si="11"/>
        <v>4.5045045045045045E-3</v>
      </c>
    </row>
    <row r="122" spans="1:15" x14ac:dyDescent="0.25">
      <c r="A122" s="2" t="s">
        <v>17</v>
      </c>
      <c r="B122" s="2" t="s">
        <v>18</v>
      </c>
      <c r="C122" s="3">
        <v>44098</v>
      </c>
      <c r="D122" s="12">
        <v>5.8200000000000002E-2</v>
      </c>
      <c r="E122" s="5">
        <v>44099</v>
      </c>
      <c r="F122" s="4">
        <v>6.5</v>
      </c>
      <c r="G122" s="5">
        <v>44278</v>
      </c>
      <c r="H122" s="1">
        <v>19.36</v>
      </c>
      <c r="I122" s="12">
        <f t="shared" si="6"/>
        <v>1.9784615384615383</v>
      </c>
      <c r="J122" s="1">
        <f t="shared" si="7"/>
        <v>179</v>
      </c>
      <c r="K122" s="13">
        <f t="shared" si="8"/>
        <v>1.1052857756768369E-2</v>
      </c>
      <c r="L122" s="4">
        <f t="shared" si="9"/>
        <v>9.75</v>
      </c>
      <c r="M122" s="3">
        <v>44113</v>
      </c>
      <c r="N122" s="1">
        <f t="shared" si="10"/>
        <v>15</v>
      </c>
      <c r="O122" s="13">
        <f t="shared" si="11"/>
        <v>3.3333333333333333E-2</v>
      </c>
    </row>
    <row r="123" spans="1:15" x14ac:dyDescent="0.25">
      <c r="A123" s="2" t="s">
        <v>149</v>
      </c>
      <c r="B123" s="2" t="s">
        <v>150</v>
      </c>
      <c r="C123" s="3">
        <v>44099</v>
      </c>
      <c r="D123" s="12">
        <v>3.5499999999999997E-2</v>
      </c>
      <c r="E123" s="5">
        <v>44102</v>
      </c>
      <c r="F123" s="4">
        <v>12.49</v>
      </c>
      <c r="G123" s="5">
        <v>44511</v>
      </c>
      <c r="H123" s="1">
        <v>52.33</v>
      </c>
      <c r="I123" s="12">
        <f t="shared" si="6"/>
        <v>3.1897518014411528</v>
      </c>
      <c r="J123" s="1">
        <f t="shared" si="7"/>
        <v>409</v>
      </c>
      <c r="K123" s="13">
        <f t="shared" si="8"/>
        <v>7.7989041600028189E-3</v>
      </c>
      <c r="L123" s="4">
        <f t="shared" si="9"/>
        <v>18.734999999999999</v>
      </c>
      <c r="M123" s="3">
        <v>44174</v>
      </c>
      <c r="N123" s="1">
        <f t="shared" si="10"/>
        <v>73</v>
      </c>
      <c r="O123" s="13">
        <f t="shared" si="11"/>
        <v>6.8493150684931503E-3</v>
      </c>
    </row>
    <row r="124" spans="1:15" x14ac:dyDescent="0.25">
      <c r="A124" s="2" t="s">
        <v>318</v>
      </c>
      <c r="B124" s="2" t="s">
        <v>319</v>
      </c>
      <c r="C124" s="3">
        <v>44102</v>
      </c>
      <c r="D124" s="12">
        <v>9.2600000000000002E-2</v>
      </c>
      <c r="E124" s="5">
        <v>44103</v>
      </c>
      <c r="F124" s="4">
        <v>1.62</v>
      </c>
      <c r="G124" s="5">
        <v>44348</v>
      </c>
      <c r="H124" s="1">
        <v>23.11</v>
      </c>
      <c r="I124" s="12">
        <f t="shared" si="6"/>
        <v>13.26543209876543</v>
      </c>
      <c r="J124" s="1">
        <f t="shared" si="7"/>
        <v>245</v>
      </c>
      <c r="K124" s="13">
        <f t="shared" si="8"/>
        <v>5.4144620811287472E-2</v>
      </c>
      <c r="L124" s="4">
        <f t="shared" si="9"/>
        <v>2.4300000000000002</v>
      </c>
      <c r="M124" s="3">
        <v>44111</v>
      </c>
      <c r="N124" s="1">
        <f t="shared" si="10"/>
        <v>9</v>
      </c>
      <c r="O124" s="13">
        <f t="shared" si="11"/>
        <v>5.5555555555555552E-2</v>
      </c>
    </row>
    <row r="125" spans="1:15" x14ac:dyDescent="0.25">
      <c r="A125" s="2" t="s">
        <v>99</v>
      </c>
      <c r="B125" s="2" t="s">
        <v>100</v>
      </c>
      <c r="C125" s="3">
        <v>44103</v>
      </c>
      <c r="D125" s="12">
        <v>6.4699999999999994E-2</v>
      </c>
      <c r="E125" s="5">
        <v>44104</v>
      </c>
      <c r="F125" s="4">
        <v>36.979999999999997</v>
      </c>
      <c r="G125" s="5">
        <v>44469</v>
      </c>
      <c r="H125" s="1">
        <v>99.83</v>
      </c>
      <c r="I125" s="12">
        <f t="shared" si="6"/>
        <v>1.6995673336938886</v>
      </c>
      <c r="J125" s="1">
        <f t="shared" si="7"/>
        <v>365</v>
      </c>
      <c r="K125" s="13">
        <f t="shared" si="8"/>
        <v>4.6563488594353114E-3</v>
      </c>
      <c r="L125" s="4">
        <f t="shared" si="9"/>
        <v>55.47</v>
      </c>
      <c r="M125" s="3">
        <v>44134</v>
      </c>
      <c r="N125" s="1">
        <f t="shared" si="10"/>
        <v>31</v>
      </c>
      <c r="O125" s="13">
        <f t="shared" si="11"/>
        <v>1.6129032258064516E-2</v>
      </c>
    </row>
    <row r="126" spans="1:15" x14ac:dyDescent="0.25">
      <c r="A126" s="2" t="s">
        <v>141</v>
      </c>
      <c r="B126" s="2" t="s">
        <v>142</v>
      </c>
      <c r="C126" s="3">
        <v>44103</v>
      </c>
      <c r="D126" s="12">
        <v>0.255</v>
      </c>
      <c r="E126" s="5">
        <v>44104</v>
      </c>
      <c r="F126" s="4">
        <v>21.63</v>
      </c>
      <c r="G126" s="5">
        <v>44174</v>
      </c>
      <c r="H126" s="1">
        <v>58.7</v>
      </c>
      <c r="I126" s="12">
        <f t="shared" si="6"/>
        <v>1.7138233934350442</v>
      </c>
      <c r="J126" s="1">
        <f t="shared" si="7"/>
        <v>70</v>
      </c>
      <c r="K126" s="13">
        <f t="shared" si="8"/>
        <v>2.4483191334786346E-2</v>
      </c>
      <c r="L126" s="4">
        <f t="shared" si="9"/>
        <v>32.445</v>
      </c>
      <c r="M126" s="3">
        <v>44127</v>
      </c>
      <c r="N126" s="1">
        <f t="shared" si="10"/>
        <v>24</v>
      </c>
      <c r="O126" s="13">
        <f t="shared" si="11"/>
        <v>2.0833333333333332E-2</v>
      </c>
    </row>
    <row r="127" spans="1:15" x14ac:dyDescent="0.25">
      <c r="A127" s="2" t="s">
        <v>247</v>
      </c>
      <c r="B127" s="2" t="s">
        <v>248</v>
      </c>
      <c r="C127" s="3">
        <v>44103</v>
      </c>
      <c r="D127" s="12">
        <v>0.39479999999999998</v>
      </c>
      <c r="E127" s="5">
        <v>44104</v>
      </c>
      <c r="F127" s="4">
        <v>2.9</v>
      </c>
      <c r="G127" s="5">
        <v>44271</v>
      </c>
      <c r="H127" s="1">
        <v>9.49</v>
      </c>
      <c r="I127" s="12">
        <f t="shared" si="6"/>
        <v>2.2724137931034485</v>
      </c>
      <c r="J127" s="1">
        <f t="shared" si="7"/>
        <v>167</v>
      </c>
      <c r="K127" s="13">
        <f t="shared" si="8"/>
        <v>1.3607268222176339E-2</v>
      </c>
      <c r="L127" s="4">
        <f t="shared" si="9"/>
        <v>4.3499999999999996</v>
      </c>
      <c r="M127" s="3">
        <v>44147</v>
      </c>
      <c r="N127" s="1">
        <f t="shared" si="10"/>
        <v>44</v>
      </c>
      <c r="O127" s="13">
        <f t="shared" si="11"/>
        <v>1.1363636363636364E-2</v>
      </c>
    </row>
    <row r="128" spans="1:15" x14ac:dyDescent="0.25">
      <c r="A128" s="2" t="s">
        <v>145</v>
      </c>
      <c r="B128" s="2" t="s">
        <v>146</v>
      </c>
      <c r="C128" s="3">
        <v>44104</v>
      </c>
      <c r="D128" s="12">
        <v>8.9899999999999994E-2</v>
      </c>
      <c r="E128" s="5">
        <v>44105</v>
      </c>
      <c r="F128" s="4">
        <v>33.07</v>
      </c>
      <c r="G128" s="5">
        <v>44523</v>
      </c>
      <c r="H128" s="1">
        <v>379.57</v>
      </c>
      <c r="I128" s="12">
        <f t="shared" si="6"/>
        <v>10.47777441790142</v>
      </c>
      <c r="J128" s="1">
        <f t="shared" si="7"/>
        <v>418</v>
      </c>
      <c r="K128" s="13">
        <f t="shared" si="8"/>
        <v>2.5066445975840717E-2</v>
      </c>
      <c r="L128" s="4">
        <f t="shared" si="9"/>
        <v>49.605000000000004</v>
      </c>
      <c r="M128" s="3">
        <v>44116</v>
      </c>
      <c r="N128" s="1">
        <f t="shared" si="10"/>
        <v>12</v>
      </c>
      <c r="O128" s="13">
        <f t="shared" si="11"/>
        <v>4.1666666666666664E-2</v>
      </c>
    </row>
    <row r="129" spans="1:15" x14ac:dyDescent="0.25">
      <c r="A129" s="2" t="s">
        <v>375</v>
      </c>
      <c r="B129" s="2" t="s">
        <v>376</v>
      </c>
      <c r="C129" s="3">
        <v>44105</v>
      </c>
      <c r="D129" s="12">
        <v>0.1749</v>
      </c>
      <c r="E129" s="5">
        <v>44106</v>
      </c>
      <c r="F129" s="4">
        <v>4.4219999999999997</v>
      </c>
      <c r="G129" s="5">
        <v>44242</v>
      </c>
      <c r="H129" s="1">
        <v>24.65</v>
      </c>
      <c r="I129" s="12">
        <f t="shared" si="6"/>
        <v>4.5744007236544553</v>
      </c>
      <c r="J129" s="1">
        <f t="shared" si="7"/>
        <v>136</v>
      </c>
      <c r="K129" s="13">
        <f t="shared" si="8"/>
        <v>3.3635299438635698E-2</v>
      </c>
      <c r="L129" s="4">
        <f t="shared" si="9"/>
        <v>6.6329999999999991</v>
      </c>
      <c r="M129" s="3">
        <v>44116</v>
      </c>
      <c r="N129" s="1">
        <f t="shared" si="10"/>
        <v>11</v>
      </c>
      <c r="O129" s="13">
        <f t="shared" si="11"/>
        <v>4.5454545454545456E-2</v>
      </c>
    </row>
    <row r="130" spans="1:15" x14ac:dyDescent="0.25">
      <c r="A130" s="2" t="s">
        <v>15</v>
      </c>
      <c r="B130" s="2" t="s">
        <v>16</v>
      </c>
      <c r="C130" s="3">
        <v>44109</v>
      </c>
      <c r="D130" s="12">
        <v>0.1767</v>
      </c>
      <c r="E130" s="5">
        <v>44110</v>
      </c>
      <c r="F130" s="4">
        <v>15.63</v>
      </c>
      <c r="G130" s="5">
        <v>44243</v>
      </c>
      <c r="H130" s="1">
        <v>43</v>
      </c>
      <c r="I130" s="12">
        <f t="shared" si="6"/>
        <v>1.7511196417146513</v>
      </c>
      <c r="J130" s="1">
        <f t="shared" si="7"/>
        <v>133</v>
      </c>
      <c r="K130" s="13">
        <f t="shared" si="8"/>
        <v>1.3166313095598882E-2</v>
      </c>
      <c r="L130" s="4">
        <f t="shared" si="9"/>
        <v>23.445</v>
      </c>
      <c r="M130" s="3">
        <v>44158</v>
      </c>
      <c r="N130" s="1">
        <f t="shared" si="10"/>
        <v>49</v>
      </c>
      <c r="O130" s="13">
        <f t="shared" si="11"/>
        <v>1.020408163265306E-2</v>
      </c>
    </row>
    <row r="131" spans="1:15" x14ac:dyDescent="0.25">
      <c r="A131" s="2" t="s">
        <v>85</v>
      </c>
      <c r="B131" s="2" t="s">
        <v>86</v>
      </c>
      <c r="C131" s="3">
        <v>44109</v>
      </c>
      <c r="D131" s="12">
        <v>8.0799999999999997E-2</v>
      </c>
      <c r="E131" s="5">
        <v>44110</v>
      </c>
      <c r="F131" s="4">
        <v>16.34</v>
      </c>
      <c r="G131" s="5">
        <v>44375</v>
      </c>
      <c r="H131" s="1">
        <v>39.22</v>
      </c>
      <c r="I131" s="12">
        <f t="shared" si="6"/>
        <v>1.4002447980416157</v>
      </c>
      <c r="J131" s="1">
        <f t="shared" si="7"/>
        <v>265</v>
      </c>
      <c r="K131" s="13">
        <f t="shared" si="8"/>
        <v>5.2839426341193046E-3</v>
      </c>
      <c r="L131" s="4">
        <f t="shared" si="9"/>
        <v>24.509999999999998</v>
      </c>
      <c r="M131" s="3">
        <v>44202</v>
      </c>
      <c r="N131" s="1">
        <f t="shared" si="10"/>
        <v>93</v>
      </c>
      <c r="O131" s="13">
        <f t="shared" si="11"/>
        <v>5.3763440860215058E-3</v>
      </c>
    </row>
    <row r="132" spans="1:15" x14ac:dyDescent="0.25">
      <c r="A132" s="2" t="s">
        <v>373</v>
      </c>
      <c r="B132" s="2" t="s">
        <v>374</v>
      </c>
      <c r="C132" s="3">
        <v>44109</v>
      </c>
      <c r="D132" s="12">
        <v>9.1200000000000003E-2</v>
      </c>
      <c r="E132" s="5">
        <v>44110</v>
      </c>
      <c r="F132" s="4">
        <v>21.48</v>
      </c>
      <c r="G132" s="5">
        <v>44334</v>
      </c>
      <c r="H132" s="1">
        <v>80.62</v>
      </c>
      <c r="I132" s="12">
        <f t="shared" ref="I132:I195" si="12">H132/F132-1</f>
        <v>2.7532588454376166</v>
      </c>
      <c r="J132" s="1">
        <f t="shared" ref="J132:J195" si="13">G132-E132</f>
        <v>224</v>
      </c>
      <c r="K132" s="13">
        <f t="shared" ref="K132:K195" si="14">I132/J132</f>
        <v>1.2291334131417931E-2</v>
      </c>
      <c r="L132" s="4">
        <f t="shared" ref="L132:L195" si="15">F132*1.5</f>
        <v>32.22</v>
      </c>
      <c r="M132" s="3">
        <v>44181</v>
      </c>
      <c r="N132" s="1">
        <f t="shared" ref="N132:N195" si="16">M132-E132+1</f>
        <v>72</v>
      </c>
      <c r="O132" s="13">
        <f t="shared" ref="O132:O195" si="17">50/100/N132</f>
        <v>6.9444444444444441E-3</v>
      </c>
    </row>
    <row r="133" spans="1:15" x14ac:dyDescent="0.25">
      <c r="A133" s="2" t="s">
        <v>227</v>
      </c>
      <c r="B133" s="2" t="s">
        <v>228</v>
      </c>
      <c r="C133" s="3">
        <v>44111</v>
      </c>
      <c r="D133" s="12">
        <v>7.6200000000000004E-2</v>
      </c>
      <c r="E133" s="5">
        <v>44112</v>
      </c>
      <c r="F133" s="4">
        <v>18.28</v>
      </c>
      <c r="G133" s="5">
        <v>44203</v>
      </c>
      <c r="H133" s="1">
        <v>43.07</v>
      </c>
      <c r="I133" s="12">
        <f t="shared" si="12"/>
        <v>1.3561269146608312</v>
      </c>
      <c r="J133" s="1">
        <f t="shared" si="13"/>
        <v>91</v>
      </c>
      <c r="K133" s="13">
        <f t="shared" si="14"/>
        <v>1.4902493567701442E-2</v>
      </c>
      <c r="L133" s="4">
        <f t="shared" si="15"/>
        <v>27.42</v>
      </c>
      <c r="M133" s="3">
        <v>44210</v>
      </c>
      <c r="N133" s="1">
        <f t="shared" si="16"/>
        <v>99</v>
      </c>
      <c r="O133" s="13">
        <f t="shared" si="17"/>
        <v>5.0505050505050509E-3</v>
      </c>
    </row>
    <row r="134" spans="1:15" x14ac:dyDescent="0.25">
      <c r="A134" s="2" t="s">
        <v>424</v>
      </c>
      <c r="B134" s="2" t="s">
        <v>425</v>
      </c>
      <c r="C134" s="3">
        <v>44112</v>
      </c>
      <c r="D134" s="12">
        <v>8.3599999999999994E-2</v>
      </c>
      <c r="E134" s="5">
        <v>44113</v>
      </c>
      <c r="F134" s="4">
        <v>18.05</v>
      </c>
      <c r="G134" s="5">
        <v>44323</v>
      </c>
      <c r="H134" s="1">
        <v>47.25</v>
      </c>
      <c r="I134" s="12">
        <f t="shared" si="12"/>
        <v>1.6177285318559558</v>
      </c>
      <c r="J134" s="1">
        <f t="shared" si="13"/>
        <v>210</v>
      </c>
      <c r="K134" s="13">
        <f t="shared" si="14"/>
        <v>7.7034691993140749E-3</v>
      </c>
      <c r="L134" s="4">
        <f t="shared" si="15"/>
        <v>27.075000000000003</v>
      </c>
      <c r="M134" s="3">
        <v>44152</v>
      </c>
      <c r="N134" s="1">
        <f t="shared" si="16"/>
        <v>40</v>
      </c>
      <c r="O134" s="13">
        <f t="shared" si="17"/>
        <v>1.2500000000000001E-2</v>
      </c>
    </row>
    <row r="135" spans="1:15" x14ac:dyDescent="0.25">
      <c r="A135" s="2" t="s">
        <v>336</v>
      </c>
      <c r="B135" s="2" t="s">
        <v>337</v>
      </c>
      <c r="C135" s="3">
        <v>44116</v>
      </c>
      <c r="D135" s="12">
        <v>3.04E-2</v>
      </c>
      <c r="E135" s="5">
        <v>44117</v>
      </c>
      <c r="F135" s="4">
        <v>23.9</v>
      </c>
      <c r="G135" s="5">
        <v>44420</v>
      </c>
      <c r="H135" s="1">
        <v>107.9</v>
      </c>
      <c r="I135" s="12">
        <f t="shared" si="12"/>
        <v>3.5146443514644359</v>
      </c>
      <c r="J135" s="1">
        <f t="shared" si="13"/>
        <v>303</v>
      </c>
      <c r="K135" s="13">
        <f t="shared" si="14"/>
        <v>1.1599486308463485E-2</v>
      </c>
      <c r="L135" s="4">
        <f t="shared" si="15"/>
        <v>35.849999999999994</v>
      </c>
      <c r="M135" s="3">
        <v>44200</v>
      </c>
      <c r="N135" s="1">
        <f t="shared" si="16"/>
        <v>84</v>
      </c>
      <c r="O135" s="13">
        <f t="shared" si="17"/>
        <v>5.9523809523809521E-3</v>
      </c>
    </row>
    <row r="136" spans="1:15" x14ac:dyDescent="0.25">
      <c r="A136" s="2" t="s">
        <v>115</v>
      </c>
      <c r="B136" s="2" t="s">
        <v>116</v>
      </c>
      <c r="C136" s="3">
        <v>44118</v>
      </c>
      <c r="D136" s="12">
        <v>0.125</v>
      </c>
      <c r="E136" s="5">
        <v>44119</v>
      </c>
      <c r="F136" s="4">
        <v>6.37</v>
      </c>
      <c r="G136" s="5">
        <v>44242</v>
      </c>
      <c r="H136" s="1">
        <v>31.29</v>
      </c>
      <c r="I136" s="12">
        <f t="shared" si="12"/>
        <v>3.9120879120879115</v>
      </c>
      <c r="J136" s="1">
        <f t="shared" si="13"/>
        <v>123</v>
      </c>
      <c r="K136" s="13">
        <f t="shared" si="14"/>
        <v>3.1805592781202534E-2</v>
      </c>
      <c r="L136" s="4">
        <f t="shared" si="15"/>
        <v>9.5549999999999997</v>
      </c>
      <c r="M136" s="3">
        <v>44158</v>
      </c>
      <c r="N136" s="1">
        <f t="shared" si="16"/>
        <v>40</v>
      </c>
      <c r="O136" s="13">
        <f t="shared" si="17"/>
        <v>1.2500000000000001E-2</v>
      </c>
    </row>
    <row r="137" spans="1:15" x14ac:dyDescent="0.25">
      <c r="A137" s="2" t="s">
        <v>542</v>
      </c>
      <c r="B137" s="2" t="s">
        <v>116</v>
      </c>
      <c r="C137" s="3">
        <v>44118</v>
      </c>
      <c r="D137" s="12">
        <v>0.125</v>
      </c>
      <c r="E137" s="5">
        <v>44119</v>
      </c>
      <c r="F137" s="4">
        <v>6.37</v>
      </c>
      <c r="G137" s="5">
        <v>44243</v>
      </c>
      <c r="H137" s="1">
        <v>31.29</v>
      </c>
      <c r="I137" s="12">
        <f t="shared" si="12"/>
        <v>3.9120879120879115</v>
      </c>
      <c r="J137" s="1">
        <f t="shared" si="13"/>
        <v>124</v>
      </c>
      <c r="K137" s="13">
        <f t="shared" si="14"/>
        <v>3.1549096065225095E-2</v>
      </c>
      <c r="L137" s="4">
        <f t="shared" si="15"/>
        <v>9.5549999999999997</v>
      </c>
      <c r="M137" s="3">
        <v>44158</v>
      </c>
      <c r="N137" s="1">
        <f t="shared" si="16"/>
        <v>40</v>
      </c>
      <c r="O137" s="13">
        <f t="shared" si="17"/>
        <v>1.2500000000000001E-2</v>
      </c>
    </row>
    <row r="138" spans="1:15" x14ac:dyDescent="0.25">
      <c r="A138" s="2" t="s">
        <v>263</v>
      </c>
      <c r="B138" s="2" t="s">
        <v>264</v>
      </c>
      <c r="C138" s="3">
        <v>44118</v>
      </c>
      <c r="D138" s="12">
        <v>2.6667000000000001</v>
      </c>
      <c r="E138" s="5">
        <v>44119</v>
      </c>
      <c r="F138" s="4">
        <v>1197</v>
      </c>
      <c r="G138" s="5">
        <v>44123</v>
      </c>
      <c r="H138" s="1">
        <v>12041</v>
      </c>
      <c r="I138" s="12">
        <f t="shared" si="12"/>
        <v>9.0593149540517963</v>
      </c>
      <c r="J138" s="1">
        <f t="shared" si="13"/>
        <v>4</v>
      </c>
      <c r="K138" s="13">
        <f t="shared" si="14"/>
        <v>2.2648287385129491</v>
      </c>
      <c r="L138" s="4">
        <f t="shared" si="15"/>
        <v>1795.5</v>
      </c>
      <c r="M138" s="3">
        <v>44120</v>
      </c>
      <c r="N138" s="1">
        <f t="shared" si="16"/>
        <v>2</v>
      </c>
      <c r="O138" s="13">
        <f t="shared" si="17"/>
        <v>0.25</v>
      </c>
    </row>
    <row r="139" spans="1:15" x14ac:dyDescent="0.25">
      <c r="A139" s="2" t="s">
        <v>241</v>
      </c>
      <c r="B139" s="2" t="s">
        <v>242</v>
      </c>
      <c r="C139" s="3">
        <v>44123</v>
      </c>
      <c r="D139" s="12">
        <v>0.13789999999999999</v>
      </c>
      <c r="E139" s="5">
        <v>44124</v>
      </c>
      <c r="F139" s="4">
        <v>13.3</v>
      </c>
      <c r="G139" s="5">
        <v>44375</v>
      </c>
      <c r="H139" s="1">
        <v>60.3</v>
      </c>
      <c r="I139" s="12">
        <f t="shared" si="12"/>
        <v>3.5338345864661651</v>
      </c>
      <c r="J139" s="1">
        <f t="shared" si="13"/>
        <v>251</v>
      </c>
      <c r="K139" s="13">
        <f t="shared" si="14"/>
        <v>1.4079022256837312E-2</v>
      </c>
      <c r="L139" s="4">
        <f t="shared" si="15"/>
        <v>19.950000000000003</v>
      </c>
      <c r="M139" s="3">
        <v>44154</v>
      </c>
      <c r="N139" s="1">
        <f t="shared" si="16"/>
        <v>31</v>
      </c>
      <c r="O139" s="13">
        <f t="shared" si="17"/>
        <v>1.6129032258064516E-2</v>
      </c>
    </row>
    <row r="140" spans="1:15" x14ac:dyDescent="0.25">
      <c r="A140" s="2" t="s">
        <v>467</v>
      </c>
      <c r="B140" s="2" t="s">
        <v>468</v>
      </c>
      <c r="C140" s="3">
        <v>44123</v>
      </c>
      <c r="D140" s="12">
        <v>0.14940000000000001</v>
      </c>
      <c r="E140" s="5">
        <v>44124</v>
      </c>
      <c r="F140" s="4">
        <v>0.99</v>
      </c>
      <c r="G140" s="5">
        <v>44216</v>
      </c>
      <c r="H140" s="1">
        <v>4.2699999999999996</v>
      </c>
      <c r="I140" s="12">
        <f t="shared" si="12"/>
        <v>3.3131313131313131</v>
      </c>
      <c r="J140" s="1">
        <f t="shared" si="13"/>
        <v>92</v>
      </c>
      <c r="K140" s="13">
        <f t="shared" si="14"/>
        <v>3.6012296881862096E-2</v>
      </c>
      <c r="L140" s="4">
        <f t="shared" si="15"/>
        <v>1.4849999999999999</v>
      </c>
      <c r="M140" s="3">
        <v>44127</v>
      </c>
      <c r="N140" s="1">
        <f t="shared" si="16"/>
        <v>4</v>
      </c>
      <c r="O140" s="13">
        <f t="shared" si="17"/>
        <v>0.125</v>
      </c>
    </row>
    <row r="141" spans="1:15" x14ac:dyDescent="0.25">
      <c r="A141" s="2" t="s">
        <v>44</v>
      </c>
      <c r="B141" s="2" t="s">
        <v>45</v>
      </c>
      <c r="C141" s="3">
        <v>44127</v>
      </c>
      <c r="D141" s="12">
        <v>5.0599999999999999E-2</v>
      </c>
      <c r="E141" s="5">
        <v>44130</v>
      </c>
      <c r="F141" s="4">
        <v>9.19</v>
      </c>
      <c r="G141" s="5">
        <v>44389</v>
      </c>
      <c r="H141" s="1">
        <v>40.479999999999997</v>
      </c>
      <c r="I141" s="12">
        <f t="shared" si="12"/>
        <v>3.4047878128400431</v>
      </c>
      <c r="J141" s="1">
        <f t="shared" si="13"/>
        <v>259</v>
      </c>
      <c r="K141" s="13">
        <f t="shared" si="14"/>
        <v>1.3145898891274297E-2</v>
      </c>
      <c r="L141" s="4">
        <f t="shared" si="15"/>
        <v>13.785</v>
      </c>
      <c r="M141" s="3">
        <v>44169</v>
      </c>
      <c r="N141" s="1">
        <f t="shared" si="16"/>
        <v>40</v>
      </c>
      <c r="O141" s="13">
        <f t="shared" si="17"/>
        <v>1.2500000000000001E-2</v>
      </c>
    </row>
    <row r="142" spans="1:15" x14ac:dyDescent="0.25">
      <c r="A142" s="2" t="s">
        <v>125</v>
      </c>
      <c r="B142" s="2" t="s">
        <v>126</v>
      </c>
      <c r="C142" s="3">
        <v>44127</v>
      </c>
      <c r="D142" s="12">
        <v>0.2099</v>
      </c>
      <c r="E142" s="5">
        <v>44134</v>
      </c>
      <c r="F142" s="4">
        <v>16.5</v>
      </c>
      <c r="G142" s="5">
        <v>44293</v>
      </c>
      <c r="H142" s="1">
        <v>46.65</v>
      </c>
      <c r="I142" s="12">
        <f t="shared" si="12"/>
        <v>1.8272727272727272</v>
      </c>
      <c r="J142" s="1">
        <f t="shared" si="13"/>
        <v>159</v>
      </c>
      <c r="K142" s="13">
        <f t="shared" si="14"/>
        <v>1.1492281303602058E-2</v>
      </c>
      <c r="L142" s="4">
        <f t="shared" si="15"/>
        <v>24.75</v>
      </c>
      <c r="M142" s="3">
        <v>44232</v>
      </c>
      <c r="N142" s="1">
        <f t="shared" si="16"/>
        <v>99</v>
      </c>
      <c r="O142" s="13">
        <f t="shared" si="17"/>
        <v>5.0505050505050509E-3</v>
      </c>
    </row>
    <row r="143" spans="1:15" x14ac:dyDescent="0.25">
      <c r="A143" s="2" t="s">
        <v>369</v>
      </c>
      <c r="B143" s="2" t="s">
        <v>370</v>
      </c>
      <c r="C143" s="3">
        <v>44132</v>
      </c>
      <c r="D143" s="12">
        <v>0.1739</v>
      </c>
      <c r="E143" s="5">
        <v>44133</v>
      </c>
      <c r="F143" s="4">
        <v>4.16</v>
      </c>
      <c r="G143" s="5">
        <v>44244</v>
      </c>
      <c r="H143" s="1">
        <v>21.5</v>
      </c>
      <c r="I143" s="12">
        <f t="shared" si="12"/>
        <v>4.1682692307692308</v>
      </c>
      <c r="J143" s="1">
        <f t="shared" si="13"/>
        <v>111</v>
      </c>
      <c r="K143" s="13">
        <f t="shared" si="14"/>
        <v>3.7551975051975051E-2</v>
      </c>
      <c r="L143" s="4">
        <f t="shared" si="15"/>
        <v>6.24</v>
      </c>
      <c r="M143" s="3">
        <v>44138</v>
      </c>
      <c r="N143" s="1">
        <f t="shared" si="16"/>
        <v>6</v>
      </c>
      <c r="O143" s="13">
        <f t="shared" si="17"/>
        <v>8.3333333333333329E-2</v>
      </c>
    </row>
    <row r="144" spans="1:15" x14ac:dyDescent="0.25">
      <c r="A144" s="2" t="s">
        <v>35</v>
      </c>
      <c r="B144" s="2" t="s">
        <v>36</v>
      </c>
      <c r="C144" s="3">
        <v>44137</v>
      </c>
      <c r="D144" s="12">
        <v>4.8800000000000003E-2</v>
      </c>
      <c r="E144" s="5">
        <v>44138</v>
      </c>
      <c r="F144" s="4">
        <v>19.350000000000001</v>
      </c>
      <c r="G144" s="5">
        <v>44489</v>
      </c>
      <c r="H144" s="1">
        <v>44.71</v>
      </c>
      <c r="I144" s="12">
        <f t="shared" si="12"/>
        <v>1.3105943152454778</v>
      </c>
      <c r="J144" s="1">
        <f t="shared" si="13"/>
        <v>351</v>
      </c>
      <c r="K144" s="13">
        <f t="shared" si="14"/>
        <v>3.7338869380213044E-3</v>
      </c>
      <c r="L144" s="4">
        <f t="shared" si="15"/>
        <v>29.025000000000002</v>
      </c>
      <c r="M144" s="3">
        <v>44271</v>
      </c>
      <c r="N144" s="1">
        <f t="shared" si="16"/>
        <v>134</v>
      </c>
      <c r="O144" s="13">
        <f t="shared" si="17"/>
        <v>3.7313432835820895E-3</v>
      </c>
    </row>
    <row r="145" spans="1:15" x14ac:dyDescent="0.25">
      <c r="A145" s="2" t="s">
        <v>46</v>
      </c>
      <c r="B145" s="2" t="s">
        <v>47</v>
      </c>
      <c r="C145" s="3">
        <v>44137</v>
      </c>
      <c r="D145" s="12">
        <v>4.5100000000000001E-2</v>
      </c>
      <c r="E145" s="5">
        <v>44138</v>
      </c>
      <c r="F145" s="4">
        <v>29</v>
      </c>
      <c r="G145" s="5">
        <v>44524</v>
      </c>
      <c r="H145" s="1">
        <v>62.44</v>
      </c>
      <c r="I145" s="12">
        <f t="shared" si="12"/>
        <v>1.153103448275862</v>
      </c>
      <c r="J145" s="1">
        <f t="shared" si="13"/>
        <v>386</v>
      </c>
      <c r="K145" s="13">
        <f t="shared" si="14"/>
        <v>2.9873146328390208E-3</v>
      </c>
      <c r="L145" s="4">
        <f t="shared" si="15"/>
        <v>43.5</v>
      </c>
      <c r="M145" s="3">
        <v>44235</v>
      </c>
      <c r="N145" s="1">
        <f t="shared" si="16"/>
        <v>98</v>
      </c>
      <c r="O145" s="13">
        <f t="shared" si="17"/>
        <v>5.1020408163265302E-3</v>
      </c>
    </row>
    <row r="146" spans="1:15" x14ac:dyDescent="0.25">
      <c r="A146" s="2" t="s">
        <v>188</v>
      </c>
      <c r="B146" s="2" t="s">
        <v>189</v>
      </c>
      <c r="C146" s="3">
        <v>44137</v>
      </c>
      <c r="D146" s="12">
        <v>4.7600000000000003E-2</v>
      </c>
      <c r="E146" s="5">
        <v>44138</v>
      </c>
      <c r="F146" s="4">
        <v>6.1920000000000002</v>
      </c>
      <c r="G146" s="5">
        <v>44579</v>
      </c>
      <c r="H146" s="1">
        <v>15.22</v>
      </c>
      <c r="I146" s="12">
        <f t="shared" si="12"/>
        <v>1.4580103359173129</v>
      </c>
      <c r="J146" s="1">
        <f t="shared" si="13"/>
        <v>441</v>
      </c>
      <c r="K146" s="13">
        <f t="shared" si="14"/>
        <v>3.306145886433816E-3</v>
      </c>
      <c r="L146" s="4">
        <f t="shared" si="15"/>
        <v>9.2880000000000003</v>
      </c>
      <c r="M146" s="3">
        <v>44208</v>
      </c>
      <c r="N146" s="1">
        <f t="shared" si="16"/>
        <v>71</v>
      </c>
      <c r="O146" s="13">
        <f t="shared" si="17"/>
        <v>7.0422535211267607E-3</v>
      </c>
    </row>
    <row r="147" spans="1:15" x14ac:dyDescent="0.25">
      <c r="A147" s="2" t="s">
        <v>229</v>
      </c>
      <c r="B147" s="2" t="s">
        <v>230</v>
      </c>
      <c r="C147" s="3">
        <v>44137</v>
      </c>
      <c r="D147" s="12">
        <v>2.92E-2</v>
      </c>
      <c r="E147" s="5">
        <v>44139</v>
      </c>
      <c r="F147" s="4">
        <v>43.69</v>
      </c>
      <c r="G147" s="5">
        <v>44508</v>
      </c>
      <c r="H147" s="1">
        <v>193.85</v>
      </c>
      <c r="I147" s="12">
        <f t="shared" si="12"/>
        <v>3.4369420920119023</v>
      </c>
      <c r="J147" s="1">
        <f t="shared" si="13"/>
        <v>369</v>
      </c>
      <c r="K147" s="13">
        <f t="shared" si="14"/>
        <v>9.3142062114143689E-3</v>
      </c>
      <c r="L147" s="4">
        <f t="shared" si="15"/>
        <v>65.534999999999997</v>
      </c>
      <c r="M147" s="3">
        <v>44202</v>
      </c>
      <c r="N147" s="1">
        <f t="shared" si="16"/>
        <v>64</v>
      </c>
      <c r="O147" s="13">
        <f t="shared" si="17"/>
        <v>7.8125E-3</v>
      </c>
    </row>
    <row r="148" spans="1:15" x14ac:dyDescent="0.25">
      <c r="A148" s="2" t="s">
        <v>418</v>
      </c>
      <c r="B148" s="2" t="s">
        <v>419</v>
      </c>
      <c r="C148" s="3">
        <v>44137</v>
      </c>
      <c r="D148" s="12">
        <v>0.60160000000000002</v>
      </c>
      <c r="E148" s="5">
        <v>44138</v>
      </c>
      <c r="F148" s="4">
        <v>1.8</v>
      </c>
      <c r="G148" s="5">
        <v>44355</v>
      </c>
      <c r="H148" s="1">
        <v>9.7200000000000006</v>
      </c>
      <c r="I148" s="12">
        <f t="shared" si="12"/>
        <v>4.4000000000000004</v>
      </c>
      <c r="J148" s="1">
        <f t="shared" si="13"/>
        <v>217</v>
      </c>
      <c r="K148" s="13">
        <f t="shared" si="14"/>
        <v>2.0276497695852536E-2</v>
      </c>
      <c r="L148" s="4">
        <f t="shared" si="15"/>
        <v>2.7</v>
      </c>
      <c r="M148" s="3">
        <v>44145</v>
      </c>
      <c r="N148" s="1">
        <f t="shared" si="16"/>
        <v>8</v>
      </c>
      <c r="O148" s="13">
        <f t="shared" si="17"/>
        <v>6.25E-2</v>
      </c>
    </row>
    <row r="149" spans="1:15" x14ac:dyDescent="0.25">
      <c r="A149" s="2" t="s">
        <v>483</v>
      </c>
      <c r="B149" s="2" t="s">
        <v>484</v>
      </c>
      <c r="C149" s="3">
        <v>44137</v>
      </c>
      <c r="D149" s="12">
        <v>4.2299999999999997E-2</v>
      </c>
      <c r="E149" s="5">
        <v>44138</v>
      </c>
      <c r="F149" s="4">
        <v>3.4</v>
      </c>
      <c r="G149" s="5">
        <v>44243</v>
      </c>
      <c r="H149" s="1">
        <v>8.16</v>
      </c>
      <c r="I149" s="12">
        <f t="shared" si="12"/>
        <v>1.4</v>
      </c>
      <c r="J149" s="1">
        <f t="shared" si="13"/>
        <v>105</v>
      </c>
      <c r="K149" s="13">
        <f t="shared" si="14"/>
        <v>1.3333333333333332E-2</v>
      </c>
      <c r="L149" s="4">
        <f t="shared" si="15"/>
        <v>5.0999999999999996</v>
      </c>
      <c r="M149" s="3">
        <v>44200</v>
      </c>
      <c r="N149" s="1">
        <f t="shared" si="16"/>
        <v>63</v>
      </c>
      <c r="O149" s="13">
        <f t="shared" si="17"/>
        <v>7.9365079365079361E-3</v>
      </c>
    </row>
    <row r="150" spans="1:15" x14ac:dyDescent="0.25">
      <c r="A150" s="2" t="s">
        <v>31</v>
      </c>
      <c r="B150" s="2" t="s">
        <v>32</v>
      </c>
      <c r="C150" s="3">
        <v>44138</v>
      </c>
      <c r="D150" s="12">
        <v>0.78249999999999997</v>
      </c>
      <c r="E150" s="5">
        <v>44139</v>
      </c>
      <c r="F150" s="4">
        <v>10.029999999999999</v>
      </c>
      <c r="G150" s="5">
        <v>44144</v>
      </c>
      <c r="H150" s="1">
        <v>60</v>
      </c>
      <c r="I150" s="12">
        <f t="shared" si="12"/>
        <v>4.9820538384845463</v>
      </c>
      <c r="J150" s="1">
        <f t="shared" si="13"/>
        <v>5</v>
      </c>
      <c r="K150" s="13">
        <f t="shared" si="14"/>
        <v>0.99641076769690928</v>
      </c>
      <c r="L150" s="4">
        <f t="shared" si="15"/>
        <v>15.044999999999998</v>
      </c>
      <c r="M150" s="3">
        <v>44139</v>
      </c>
      <c r="N150" s="1">
        <f t="shared" si="16"/>
        <v>1</v>
      </c>
      <c r="O150" s="13">
        <f t="shared" si="17"/>
        <v>0.5</v>
      </c>
    </row>
    <row r="151" spans="1:15" x14ac:dyDescent="0.25">
      <c r="A151" s="2" t="s">
        <v>33</v>
      </c>
      <c r="B151" s="2" t="s">
        <v>34</v>
      </c>
      <c r="C151" s="3">
        <v>44138</v>
      </c>
      <c r="D151" s="12">
        <v>3.9899999999999998E-2</v>
      </c>
      <c r="E151" s="5">
        <v>44139</v>
      </c>
      <c r="F151" s="4">
        <v>101.15</v>
      </c>
      <c r="G151" s="5">
        <v>44504</v>
      </c>
      <c r="H151" s="1">
        <v>180.81</v>
      </c>
      <c r="I151" s="12">
        <f t="shared" si="12"/>
        <v>0.78754325259515556</v>
      </c>
      <c r="J151" s="1">
        <f t="shared" si="13"/>
        <v>365</v>
      </c>
      <c r="K151" s="13">
        <f t="shared" si="14"/>
        <v>2.1576527468360426E-3</v>
      </c>
      <c r="L151" s="4">
        <f t="shared" si="15"/>
        <v>151.72500000000002</v>
      </c>
      <c r="M151" s="3">
        <v>44208</v>
      </c>
      <c r="N151" s="1">
        <f t="shared" si="16"/>
        <v>70</v>
      </c>
      <c r="O151" s="13">
        <f t="shared" si="17"/>
        <v>7.1428571428571426E-3</v>
      </c>
    </row>
    <row r="152" spans="1:15" x14ac:dyDescent="0.25">
      <c r="A152" s="2" t="s">
        <v>48</v>
      </c>
      <c r="B152" s="2" t="s">
        <v>49</v>
      </c>
      <c r="C152" s="3">
        <v>44138</v>
      </c>
      <c r="D152" s="12">
        <v>5.6000000000000001E-2</v>
      </c>
      <c r="E152" s="5">
        <v>44139</v>
      </c>
      <c r="F152" s="4">
        <v>18.46</v>
      </c>
      <c r="G152" s="5">
        <v>44564</v>
      </c>
      <c r="H152" s="1">
        <v>71.78</v>
      </c>
      <c r="I152" s="12">
        <f t="shared" si="12"/>
        <v>2.8884073672806068</v>
      </c>
      <c r="J152" s="1">
        <f t="shared" si="13"/>
        <v>425</v>
      </c>
      <c r="K152" s="13">
        <f t="shared" si="14"/>
        <v>6.796252628895545E-3</v>
      </c>
      <c r="L152" s="4">
        <f t="shared" si="15"/>
        <v>27.69</v>
      </c>
      <c r="M152" s="3">
        <v>44188</v>
      </c>
      <c r="N152" s="1">
        <f t="shared" si="16"/>
        <v>50</v>
      </c>
      <c r="O152" s="13">
        <f t="shared" si="17"/>
        <v>0.01</v>
      </c>
    </row>
    <row r="153" spans="1:15" x14ac:dyDescent="0.25">
      <c r="A153" s="2" t="s">
        <v>79</v>
      </c>
      <c r="B153" s="2" t="s">
        <v>80</v>
      </c>
      <c r="C153" s="3">
        <v>44138</v>
      </c>
      <c r="D153" s="12">
        <v>4.7800000000000002E-2</v>
      </c>
      <c r="E153" s="5">
        <v>44139</v>
      </c>
      <c r="F153" s="4">
        <v>35.42</v>
      </c>
      <c r="G153" s="5">
        <v>44518</v>
      </c>
      <c r="H153" s="1">
        <v>134.5</v>
      </c>
      <c r="I153" s="12">
        <f t="shared" si="12"/>
        <v>2.7972896668548839</v>
      </c>
      <c r="J153" s="1">
        <f t="shared" si="13"/>
        <v>379</v>
      </c>
      <c r="K153" s="13">
        <f t="shared" si="14"/>
        <v>7.380711522044549E-3</v>
      </c>
      <c r="L153" s="4">
        <f t="shared" si="15"/>
        <v>53.13</v>
      </c>
      <c r="M153" s="3">
        <v>44207</v>
      </c>
      <c r="N153" s="1">
        <f t="shared" si="16"/>
        <v>69</v>
      </c>
      <c r="O153" s="13">
        <f t="shared" si="17"/>
        <v>7.246376811594203E-3</v>
      </c>
    </row>
    <row r="154" spans="1:15" x14ac:dyDescent="0.25">
      <c r="A154" s="2" t="s">
        <v>514</v>
      </c>
      <c r="B154" s="2" t="s">
        <v>497</v>
      </c>
      <c r="C154" s="3">
        <v>44138</v>
      </c>
      <c r="D154" s="12">
        <v>0.36299999999999999</v>
      </c>
      <c r="E154" s="5">
        <v>44139</v>
      </c>
      <c r="F154" s="4">
        <v>3.64</v>
      </c>
      <c r="G154" s="5">
        <v>44453</v>
      </c>
      <c r="H154" s="1">
        <v>38.92</v>
      </c>
      <c r="I154" s="12">
        <f t="shared" si="12"/>
        <v>9.6923076923076916</v>
      </c>
      <c r="J154" s="1">
        <f t="shared" si="13"/>
        <v>314</v>
      </c>
      <c r="K154" s="13">
        <f t="shared" si="14"/>
        <v>3.0867221950024497E-2</v>
      </c>
      <c r="L154" s="4">
        <f t="shared" si="15"/>
        <v>5.46</v>
      </c>
      <c r="M154" s="3">
        <v>44207</v>
      </c>
      <c r="N154" s="1">
        <f t="shared" si="16"/>
        <v>69</v>
      </c>
      <c r="O154" s="13">
        <f t="shared" si="17"/>
        <v>7.246376811594203E-3</v>
      </c>
    </row>
    <row r="155" spans="1:15" x14ac:dyDescent="0.25">
      <c r="A155" s="2" t="s">
        <v>277</v>
      </c>
      <c r="B155" s="2" t="s">
        <v>278</v>
      </c>
      <c r="C155" s="3">
        <v>44138</v>
      </c>
      <c r="D155" s="12">
        <v>4.3099999999999999E-2</v>
      </c>
      <c r="E155" s="5">
        <v>44139</v>
      </c>
      <c r="F155" s="4">
        <v>36.9</v>
      </c>
      <c r="G155" s="5">
        <v>44522</v>
      </c>
      <c r="H155" s="1">
        <v>85.45</v>
      </c>
      <c r="I155" s="12">
        <f t="shared" si="12"/>
        <v>1.3157181571815721</v>
      </c>
      <c r="J155" s="1">
        <f t="shared" si="13"/>
        <v>383</v>
      </c>
      <c r="K155" s="13">
        <f t="shared" si="14"/>
        <v>3.4352954495602407E-3</v>
      </c>
      <c r="L155" s="4">
        <f t="shared" si="15"/>
        <v>55.349999999999994</v>
      </c>
      <c r="M155" s="3">
        <v>44304</v>
      </c>
      <c r="N155" s="1">
        <f t="shared" si="16"/>
        <v>166</v>
      </c>
      <c r="O155" s="13">
        <f t="shared" si="17"/>
        <v>3.0120481927710845E-3</v>
      </c>
    </row>
    <row r="156" spans="1:15" x14ac:dyDescent="0.25">
      <c r="A156" s="2" t="s">
        <v>379</v>
      </c>
      <c r="B156" s="2" t="s">
        <v>380</v>
      </c>
      <c r="C156" s="3">
        <v>44138</v>
      </c>
      <c r="D156" s="12">
        <v>0.1404</v>
      </c>
      <c r="E156" s="5">
        <v>44139</v>
      </c>
      <c r="F156" s="4">
        <v>20.3</v>
      </c>
      <c r="G156" s="5">
        <v>44522</v>
      </c>
      <c r="H156" s="1">
        <v>61.12</v>
      </c>
      <c r="I156" s="12">
        <f t="shared" si="12"/>
        <v>2.0108374384236449</v>
      </c>
      <c r="J156" s="1">
        <f t="shared" si="13"/>
        <v>383</v>
      </c>
      <c r="K156" s="13">
        <f t="shared" si="14"/>
        <v>5.2502282987562533E-3</v>
      </c>
      <c r="L156" s="4">
        <f t="shared" si="15"/>
        <v>30.450000000000003</v>
      </c>
      <c r="M156" s="3">
        <v>44256</v>
      </c>
      <c r="N156" s="1">
        <f t="shared" si="16"/>
        <v>118</v>
      </c>
      <c r="O156" s="13">
        <f t="shared" si="17"/>
        <v>4.2372881355932203E-3</v>
      </c>
    </row>
    <row r="157" spans="1:15" x14ac:dyDescent="0.25">
      <c r="A157" s="2" t="s">
        <v>386</v>
      </c>
      <c r="B157" s="2" t="s">
        <v>387</v>
      </c>
      <c r="C157" s="3">
        <v>44138</v>
      </c>
      <c r="D157" s="12">
        <v>0.2044</v>
      </c>
      <c r="E157" s="5">
        <v>44139</v>
      </c>
      <c r="F157" s="4">
        <v>1.115</v>
      </c>
      <c r="G157" s="5">
        <v>44243</v>
      </c>
      <c r="H157" s="1">
        <v>7.59</v>
      </c>
      <c r="I157" s="12">
        <f t="shared" si="12"/>
        <v>5.8071748878923763</v>
      </c>
      <c r="J157" s="1">
        <f t="shared" si="13"/>
        <v>104</v>
      </c>
      <c r="K157" s="13">
        <f t="shared" si="14"/>
        <v>5.5838220075888234E-2</v>
      </c>
      <c r="L157" s="4">
        <f t="shared" si="15"/>
        <v>1.6724999999999999</v>
      </c>
      <c r="M157" s="3">
        <v>44147</v>
      </c>
      <c r="N157" s="1">
        <f t="shared" si="16"/>
        <v>9</v>
      </c>
      <c r="O157" s="13">
        <f t="shared" si="17"/>
        <v>5.5555555555555552E-2</v>
      </c>
    </row>
    <row r="158" spans="1:15" x14ac:dyDescent="0.25">
      <c r="A158" s="2" t="s">
        <v>420</v>
      </c>
      <c r="B158" s="2" t="s">
        <v>421</v>
      </c>
      <c r="C158" s="3">
        <v>44138</v>
      </c>
      <c r="D158" s="12">
        <v>1.17E-2</v>
      </c>
      <c r="E158" s="5">
        <v>44139</v>
      </c>
      <c r="F158" s="4">
        <v>304.35000000000002</v>
      </c>
      <c r="G158" s="5">
        <v>44516</v>
      </c>
      <c r="H158" s="1">
        <v>763.22</v>
      </c>
      <c r="I158" s="12">
        <f t="shared" si="12"/>
        <v>1.5077049449646789</v>
      </c>
      <c r="J158" s="1">
        <f t="shared" si="13"/>
        <v>377</v>
      </c>
      <c r="K158" s="13">
        <f t="shared" si="14"/>
        <v>3.9992173606490152E-3</v>
      </c>
      <c r="L158" s="4">
        <f t="shared" si="15"/>
        <v>456.52500000000003</v>
      </c>
      <c r="M158" s="3">
        <v>44210</v>
      </c>
      <c r="N158" s="1">
        <f t="shared" si="16"/>
        <v>72</v>
      </c>
      <c r="O158" s="13">
        <f t="shared" si="17"/>
        <v>6.9444444444444441E-3</v>
      </c>
    </row>
    <row r="159" spans="1:15" x14ac:dyDescent="0.25">
      <c r="A159" s="2" t="s">
        <v>487</v>
      </c>
      <c r="B159" s="2" t="s">
        <v>488</v>
      </c>
      <c r="C159" s="3">
        <v>44138</v>
      </c>
      <c r="D159" s="12">
        <v>8.9200000000000002E-2</v>
      </c>
      <c r="E159" s="5">
        <v>44139</v>
      </c>
      <c r="F159" s="4">
        <v>320.42</v>
      </c>
      <c r="G159" s="5">
        <v>44442</v>
      </c>
      <c r="H159" s="1">
        <v>594.77</v>
      </c>
      <c r="I159" s="12">
        <f t="shared" si="12"/>
        <v>0.85621996130079259</v>
      </c>
      <c r="J159" s="1">
        <f t="shared" si="13"/>
        <v>303</v>
      </c>
      <c r="K159" s="13">
        <f t="shared" si="14"/>
        <v>2.8258084531379295E-3</v>
      </c>
      <c r="L159" s="4">
        <f t="shared" si="15"/>
        <v>480.63</v>
      </c>
      <c r="M159" s="3">
        <v>44245</v>
      </c>
      <c r="N159" s="1">
        <f t="shared" si="16"/>
        <v>107</v>
      </c>
      <c r="O159" s="13">
        <f t="shared" si="17"/>
        <v>4.6728971962616819E-3</v>
      </c>
    </row>
    <row r="160" spans="1:15" x14ac:dyDescent="0.25">
      <c r="A160" s="2" t="s">
        <v>147</v>
      </c>
      <c r="B160" s="2" t="s">
        <v>148</v>
      </c>
      <c r="C160" s="3">
        <v>44138</v>
      </c>
      <c r="D160" s="12">
        <v>3.2099999999999997E-2</v>
      </c>
      <c r="E160" s="5">
        <v>44139</v>
      </c>
      <c r="F160" s="4">
        <v>63.959000000000003</v>
      </c>
      <c r="G160" s="5">
        <v>44421</v>
      </c>
      <c r="H160" s="1">
        <v>128.99</v>
      </c>
      <c r="I160" s="12">
        <f t="shared" si="12"/>
        <v>1.0167607373473633</v>
      </c>
      <c r="J160" s="1">
        <f t="shared" si="13"/>
        <v>282</v>
      </c>
      <c r="K160" s="13">
        <f t="shared" si="14"/>
        <v>3.6055345296005792E-3</v>
      </c>
      <c r="L160" s="4">
        <f t="shared" si="15"/>
        <v>95.938500000000005</v>
      </c>
      <c r="M160" s="3">
        <v>44266</v>
      </c>
      <c r="N160" s="1">
        <f t="shared" si="16"/>
        <v>128</v>
      </c>
      <c r="O160" s="13">
        <f t="shared" si="17"/>
        <v>3.90625E-3</v>
      </c>
    </row>
    <row r="161" spans="1:15" x14ac:dyDescent="0.25">
      <c r="A161" s="2" t="s">
        <v>328</v>
      </c>
      <c r="B161" s="2" t="s">
        <v>329</v>
      </c>
      <c r="C161" s="3">
        <v>44138</v>
      </c>
      <c r="D161" s="12">
        <v>3.3799999999999997E-2</v>
      </c>
      <c r="E161" s="5">
        <v>44139</v>
      </c>
      <c r="F161" s="4">
        <v>27.52</v>
      </c>
      <c r="G161" s="5">
        <v>44644</v>
      </c>
      <c r="H161" s="1">
        <v>94.12</v>
      </c>
      <c r="I161" s="12">
        <f t="shared" si="12"/>
        <v>2.4200581395348841</v>
      </c>
      <c r="J161" s="1">
        <f t="shared" si="13"/>
        <v>505</v>
      </c>
      <c r="K161" s="13">
        <f t="shared" si="14"/>
        <v>4.7921943357126422E-3</v>
      </c>
      <c r="L161" s="4">
        <f t="shared" si="15"/>
        <v>41.28</v>
      </c>
      <c r="M161" s="3">
        <v>44204</v>
      </c>
      <c r="N161" s="1">
        <f t="shared" si="16"/>
        <v>66</v>
      </c>
      <c r="O161" s="13">
        <f t="shared" si="17"/>
        <v>7.575757575757576E-3</v>
      </c>
    </row>
    <row r="162" spans="1:15" x14ac:dyDescent="0.25">
      <c r="A162" s="2" t="s">
        <v>56</v>
      </c>
      <c r="B162" s="2" t="s">
        <v>57</v>
      </c>
      <c r="C162" s="3">
        <v>44139</v>
      </c>
      <c r="D162" s="12">
        <v>4.3200000000000002E-2</v>
      </c>
      <c r="E162" s="5">
        <v>44140</v>
      </c>
      <c r="F162" s="4">
        <v>18.3</v>
      </c>
      <c r="G162" s="5">
        <v>44196</v>
      </c>
      <c r="H162" s="1">
        <v>75.900000000000006</v>
      </c>
      <c r="I162" s="12">
        <f t="shared" si="12"/>
        <v>3.1475409836065573</v>
      </c>
      <c r="J162" s="1">
        <f t="shared" si="13"/>
        <v>56</v>
      </c>
      <c r="K162" s="13">
        <f t="shared" si="14"/>
        <v>5.6206088992974239E-2</v>
      </c>
      <c r="L162" s="4">
        <f t="shared" si="15"/>
        <v>27.450000000000003</v>
      </c>
      <c r="M162" s="3">
        <v>44155</v>
      </c>
      <c r="N162" s="1">
        <f t="shared" si="16"/>
        <v>16</v>
      </c>
      <c r="O162" s="13">
        <f t="shared" si="17"/>
        <v>3.125E-2</v>
      </c>
    </row>
    <row r="163" spans="1:15" x14ac:dyDescent="0.25">
      <c r="A163" s="2" t="s">
        <v>251</v>
      </c>
      <c r="B163" s="2" t="s">
        <v>252</v>
      </c>
      <c r="C163" s="3">
        <v>44139</v>
      </c>
      <c r="D163" s="12">
        <v>7.5200000000000003E-2</v>
      </c>
      <c r="E163" s="5">
        <v>44140</v>
      </c>
      <c r="F163" s="4">
        <v>28.25</v>
      </c>
      <c r="G163" s="5">
        <v>44377</v>
      </c>
      <c r="H163" s="1">
        <v>202.73</v>
      </c>
      <c r="I163" s="12">
        <f t="shared" si="12"/>
        <v>6.1762831858407079</v>
      </c>
      <c r="J163" s="1">
        <f t="shared" si="13"/>
        <v>237</v>
      </c>
      <c r="K163" s="13">
        <f t="shared" si="14"/>
        <v>2.606026660692282E-2</v>
      </c>
      <c r="L163" s="4">
        <f t="shared" si="15"/>
        <v>42.375</v>
      </c>
      <c r="M163" s="3">
        <v>44168</v>
      </c>
      <c r="N163" s="1">
        <f t="shared" si="16"/>
        <v>29</v>
      </c>
      <c r="O163" s="13">
        <f t="shared" si="17"/>
        <v>1.7241379310344827E-2</v>
      </c>
    </row>
    <row r="164" spans="1:15" x14ac:dyDescent="0.25">
      <c r="A164" s="2" t="s">
        <v>297</v>
      </c>
      <c r="B164" s="2" t="s">
        <v>298</v>
      </c>
      <c r="C164" s="3">
        <v>44139</v>
      </c>
      <c r="D164" s="12">
        <v>7.46E-2</v>
      </c>
      <c r="E164" s="5">
        <v>44140</v>
      </c>
      <c r="F164" s="4">
        <v>10.210000000000001</v>
      </c>
      <c r="G164" s="5">
        <v>44236</v>
      </c>
      <c r="H164" s="1">
        <v>64.39</v>
      </c>
      <c r="I164" s="12">
        <f t="shared" si="12"/>
        <v>5.3065621939275216</v>
      </c>
      <c r="J164" s="1">
        <f t="shared" si="13"/>
        <v>96</v>
      </c>
      <c r="K164" s="13">
        <f t="shared" si="14"/>
        <v>5.5276689520078352E-2</v>
      </c>
      <c r="L164" s="4">
        <f t="shared" si="15"/>
        <v>15.315000000000001</v>
      </c>
      <c r="M164" s="3">
        <v>44160</v>
      </c>
      <c r="N164" s="1">
        <f t="shared" si="16"/>
        <v>21</v>
      </c>
      <c r="O164" s="13">
        <f t="shared" si="17"/>
        <v>2.3809523809523808E-2</v>
      </c>
    </row>
    <row r="165" spans="1:15" x14ac:dyDescent="0.25">
      <c r="A165" s="2" t="s">
        <v>334</v>
      </c>
      <c r="B165" s="2" t="s">
        <v>335</v>
      </c>
      <c r="C165" s="3">
        <v>44139</v>
      </c>
      <c r="D165" s="12">
        <v>0.14330000000000001</v>
      </c>
      <c r="E165" s="5">
        <v>44140</v>
      </c>
      <c r="F165" s="4">
        <v>11.64</v>
      </c>
      <c r="G165" s="5">
        <v>44181</v>
      </c>
      <c r="H165" s="1">
        <v>24.3</v>
      </c>
      <c r="I165" s="12">
        <f t="shared" si="12"/>
        <v>1.0876288659793816</v>
      </c>
      <c r="J165" s="1">
        <f t="shared" si="13"/>
        <v>41</v>
      </c>
      <c r="K165" s="13">
        <f t="shared" si="14"/>
        <v>2.6527533316570283E-2</v>
      </c>
      <c r="L165" s="4">
        <f t="shared" si="15"/>
        <v>17.46</v>
      </c>
      <c r="M165" s="3">
        <v>44162</v>
      </c>
      <c r="N165" s="1">
        <f t="shared" si="16"/>
        <v>23</v>
      </c>
      <c r="O165" s="13">
        <f t="shared" si="17"/>
        <v>2.1739130434782608E-2</v>
      </c>
    </row>
    <row r="166" spans="1:15" x14ac:dyDescent="0.25">
      <c r="A166" s="2" t="s">
        <v>340</v>
      </c>
      <c r="B166" s="2" t="s">
        <v>341</v>
      </c>
      <c r="C166" s="3">
        <v>44139</v>
      </c>
      <c r="D166" s="12">
        <v>2.76E-2</v>
      </c>
      <c r="E166" s="5">
        <v>44140</v>
      </c>
      <c r="F166" s="4">
        <v>36.29</v>
      </c>
      <c r="G166" s="5">
        <v>44575</v>
      </c>
      <c r="H166" s="1">
        <v>106.09</v>
      </c>
      <c r="I166" s="12">
        <f t="shared" si="12"/>
        <v>1.923394874621108</v>
      </c>
      <c r="J166" s="1">
        <f t="shared" si="13"/>
        <v>435</v>
      </c>
      <c r="K166" s="13">
        <f t="shared" si="14"/>
        <v>4.4215974129220873E-3</v>
      </c>
      <c r="L166" s="4">
        <f t="shared" si="15"/>
        <v>54.435000000000002</v>
      </c>
      <c r="M166" s="3">
        <v>44208</v>
      </c>
      <c r="N166" s="1">
        <f t="shared" si="16"/>
        <v>69</v>
      </c>
      <c r="O166" s="13">
        <f t="shared" si="17"/>
        <v>7.246376811594203E-3</v>
      </c>
    </row>
    <row r="167" spans="1:15" x14ac:dyDescent="0.25">
      <c r="A167" s="2" t="s">
        <v>383</v>
      </c>
      <c r="B167" s="2" t="s">
        <v>384</v>
      </c>
      <c r="C167" s="3">
        <v>44139</v>
      </c>
      <c r="D167" s="12">
        <v>7.22E-2</v>
      </c>
      <c r="E167" s="5">
        <v>44140</v>
      </c>
      <c r="F167" s="4">
        <v>31.77</v>
      </c>
      <c r="G167" s="5">
        <v>44174</v>
      </c>
      <c r="H167" s="1">
        <v>67.48</v>
      </c>
      <c r="I167" s="12">
        <f t="shared" si="12"/>
        <v>1.12401636764243</v>
      </c>
      <c r="J167" s="1">
        <f t="shared" si="13"/>
        <v>34</v>
      </c>
      <c r="K167" s="13">
        <f t="shared" si="14"/>
        <v>3.3059304930659707E-2</v>
      </c>
      <c r="L167" s="4">
        <f t="shared" si="15"/>
        <v>47.655000000000001</v>
      </c>
      <c r="M167" s="3">
        <v>44174</v>
      </c>
      <c r="N167" s="1">
        <f t="shared" si="16"/>
        <v>35</v>
      </c>
      <c r="O167" s="13">
        <f t="shared" si="17"/>
        <v>1.4285714285714285E-2</v>
      </c>
    </row>
    <row r="168" spans="1:15" x14ac:dyDescent="0.25">
      <c r="A168" s="2" t="s">
        <v>394</v>
      </c>
      <c r="B168" s="2" t="s">
        <v>395</v>
      </c>
      <c r="C168" s="3">
        <v>44139</v>
      </c>
      <c r="D168" s="12">
        <v>5.5800000000000002E-2</v>
      </c>
      <c r="E168" s="5">
        <v>44140</v>
      </c>
      <c r="F168" s="4">
        <v>9.34</v>
      </c>
      <c r="G168" s="5">
        <v>44326</v>
      </c>
      <c r="H168" s="1">
        <v>19.78</v>
      </c>
      <c r="I168" s="12">
        <f t="shared" si="12"/>
        <v>1.1177730192719486</v>
      </c>
      <c r="J168" s="1">
        <f t="shared" si="13"/>
        <v>186</v>
      </c>
      <c r="K168" s="13">
        <f t="shared" si="14"/>
        <v>6.0095323616771428E-3</v>
      </c>
      <c r="L168" s="4">
        <f t="shared" si="15"/>
        <v>14.01</v>
      </c>
      <c r="M168" s="3">
        <v>44230</v>
      </c>
      <c r="N168" s="1">
        <f t="shared" si="16"/>
        <v>91</v>
      </c>
      <c r="O168" s="13">
        <f t="shared" si="17"/>
        <v>5.4945054945054949E-3</v>
      </c>
    </row>
    <row r="169" spans="1:15" x14ac:dyDescent="0.25">
      <c r="A169" s="2" t="s">
        <v>505</v>
      </c>
      <c r="B169" s="2" t="s">
        <v>504</v>
      </c>
      <c r="C169" s="3">
        <v>44139</v>
      </c>
      <c r="D169" s="12">
        <v>0.17430000000000001</v>
      </c>
      <c r="E169" s="5">
        <v>44140</v>
      </c>
      <c r="F169" s="4">
        <v>5.48</v>
      </c>
      <c r="G169" s="5">
        <v>44382</v>
      </c>
      <c r="H169" s="1">
        <v>23.25</v>
      </c>
      <c r="I169" s="12">
        <f t="shared" si="12"/>
        <v>3.242700729927007</v>
      </c>
      <c r="J169" s="1">
        <f t="shared" si="13"/>
        <v>242</v>
      </c>
      <c r="K169" s="13">
        <f t="shared" si="14"/>
        <v>1.3399589793086806E-2</v>
      </c>
      <c r="L169" s="4">
        <f t="shared" si="15"/>
        <v>8.2200000000000006</v>
      </c>
      <c r="M169" s="3">
        <v>44168</v>
      </c>
      <c r="N169" s="1">
        <f t="shared" si="16"/>
        <v>29</v>
      </c>
      <c r="O169" s="13">
        <f t="shared" si="17"/>
        <v>1.7241379310344827E-2</v>
      </c>
    </row>
    <row r="170" spans="1:15" x14ac:dyDescent="0.25">
      <c r="A170" s="2" t="s">
        <v>8</v>
      </c>
      <c r="B170" s="2" t="s">
        <v>9</v>
      </c>
      <c r="C170" s="3">
        <v>44140</v>
      </c>
      <c r="D170" s="12">
        <v>6.7500000000000004E-2</v>
      </c>
      <c r="E170" s="5">
        <v>44141</v>
      </c>
      <c r="F170" s="4">
        <v>24.81</v>
      </c>
      <c r="G170" s="5">
        <v>44351</v>
      </c>
      <c r="H170" s="1">
        <v>53.17</v>
      </c>
      <c r="I170" s="12">
        <f t="shared" si="12"/>
        <v>1.1430874647319631</v>
      </c>
      <c r="J170" s="1">
        <f t="shared" si="13"/>
        <v>210</v>
      </c>
      <c r="K170" s="13">
        <f t="shared" si="14"/>
        <v>5.4432736415807766E-3</v>
      </c>
      <c r="L170" s="4">
        <f t="shared" si="15"/>
        <v>37.214999999999996</v>
      </c>
      <c r="M170" s="3">
        <v>44173</v>
      </c>
      <c r="N170" s="1">
        <f t="shared" si="16"/>
        <v>33</v>
      </c>
      <c r="O170" s="13">
        <f t="shared" si="17"/>
        <v>1.5151515151515152E-2</v>
      </c>
    </row>
    <row r="171" spans="1:15" x14ac:dyDescent="0.25">
      <c r="A171" s="2" t="s">
        <v>23</v>
      </c>
      <c r="B171" s="2" t="s">
        <v>24</v>
      </c>
      <c r="C171" s="3">
        <v>44140</v>
      </c>
      <c r="D171" s="12">
        <v>3.7999999999999999E-2</v>
      </c>
      <c r="E171" s="5">
        <v>44141</v>
      </c>
      <c r="F171" s="4">
        <v>60.92</v>
      </c>
      <c r="G171" s="5">
        <v>44531</v>
      </c>
      <c r="H171" s="1">
        <v>227.59</v>
      </c>
      <c r="I171" s="12">
        <f t="shared" si="12"/>
        <v>2.7358831254103744</v>
      </c>
      <c r="J171" s="1">
        <f t="shared" si="13"/>
        <v>390</v>
      </c>
      <c r="K171" s="13">
        <f t="shared" si="14"/>
        <v>7.015084936949678E-3</v>
      </c>
      <c r="L171" s="4">
        <f t="shared" si="15"/>
        <v>91.38</v>
      </c>
      <c r="M171" s="3">
        <v>44169</v>
      </c>
      <c r="N171" s="1">
        <f t="shared" si="16"/>
        <v>29</v>
      </c>
      <c r="O171" s="13">
        <f t="shared" si="17"/>
        <v>1.7241379310344827E-2</v>
      </c>
    </row>
    <row r="172" spans="1:15" x14ac:dyDescent="0.25">
      <c r="A172" s="2" t="s">
        <v>69</v>
      </c>
      <c r="B172" s="2" t="s">
        <v>70</v>
      </c>
      <c r="C172" s="3">
        <v>44140</v>
      </c>
      <c r="D172" s="12">
        <v>0.1401</v>
      </c>
      <c r="E172" s="5">
        <v>44141</v>
      </c>
      <c r="F172" s="4">
        <v>72.67</v>
      </c>
      <c r="G172" s="5">
        <v>44462</v>
      </c>
      <c r="H172" s="1">
        <v>134.37</v>
      </c>
      <c r="I172" s="12">
        <f t="shared" si="12"/>
        <v>0.84904362185220861</v>
      </c>
      <c r="J172" s="1">
        <f t="shared" si="13"/>
        <v>321</v>
      </c>
      <c r="K172" s="13">
        <f t="shared" si="14"/>
        <v>2.6449957067046998E-3</v>
      </c>
      <c r="L172" s="4">
        <f t="shared" si="15"/>
        <v>109.005</v>
      </c>
      <c r="M172" s="3">
        <v>44312</v>
      </c>
      <c r="N172" s="1">
        <f t="shared" si="16"/>
        <v>172</v>
      </c>
      <c r="O172" s="13">
        <f t="shared" si="17"/>
        <v>2.9069767441860465E-3</v>
      </c>
    </row>
    <row r="173" spans="1:15" x14ac:dyDescent="0.25">
      <c r="A173" s="2" t="s">
        <v>93</v>
      </c>
      <c r="B173" s="2" t="s">
        <v>94</v>
      </c>
      <c r="C173" s="3">
        <v>44140</v>
      </c>
      <c r="D173" s="12">
        <v>0.1158</v>
      </c>
      <c r="E173" s="5">
        <v>44141</v>
      </c>
      <c r="F173" s="4">
        <v>22</v>
      </c>
      <c r="G173" s="5">
        <v>44237</v>
      </c>
      <c r="H173" s="1">
        <v>56.5</v>
      </c>
      <c r="I173" s="12">
        <f t="shared" si="12"/>
        <v>1.5681818181818183</v>
      </c>
      <c r="J173" s="1">
        <f t="shared" si="13"/>
        <v>96</v>
      </c>
      <c r="K173" s="13">
        <f t="shared" si="14"/>
        <v>1.6335227272727276E-2</v>
      </c>
      <c r="L173" s="4">
        <f t="shared" si="15"/>
        <v>33</v>
      </c>
      <c r="M173" s="3">
        <v>44209</v>
      </c>
      <c r="N173" s="1">
        <f t="shared" si="16"/>
        <v>69</v>
      </c>
      <c r="O173" s="13">
        <f t="shared" si="17"/>
        <v>7.246376811594203E-3</v>
      </c>
    </row>
    <row r="174" spans="1:15" x14ac:dyDescent="0.25">
      <c r="A174" s="2" t="s">
        <v>255</v>
      </c>
      <c r="B174" s="2" t="s">
        <v>256</v>
      </c>
      <c r="C174" s="3">
        <v>44140</v>
      </c>
      <c r="D174" s="12">
        <v>4.0500000000000001E-2</v>
      </c>
      <c r="E174" s="5">
        <v>44141</v>
      </c>
      <c r="F174" s="4">
        <v>19.25</v>
      </c>
      <c r="G174" s="5">
        <v>44503</v>
      </c>
      <c r="H174" s="1">
        <v>40.799999999999997</v>
      </c>
      <c r="I174" s="12">
        <f t="shared" si="12"/>
        <v>1.1194805194805193</v>
      </c>
      <c r="J174" s="1">
        <f t="shared" si="13"/>
        <v>362</v>
      </c>
      <c r="K174" s="13">
        <f t="shared" si="14"/>
        <v>3.0924876228743629E-3</v>
      </c>
      <c r="L174" s="4">
        <f t="shared" si="15"/>
        <v>28.875</v>
      </c>
      <c r="M174" s="3">
        <v>44264</v>
      </c>
      <c r="N174" s="1">
        <f t="shared" si="16"/>
        <v>124</v>
      </c>
      <c r="O174" s="13">
        <f t="shared" si="17"/>
        <v>4.0322580645161289E-3</v>
      </c>
    </row>
    <row r="175" spans="1:15" x14ac:dyDescent="0.25">
      <c r="A175" s="2" t="s">
        <v>265</v>
      </c>
      <c r="B175" s="2" t="s">
        <v>266</v>
      </c>
      <c r="C175" s="3">
        <v>44140</v>
      </c>
      <c r="D175" s="12">
        <v>3.09E-2</v>
      </c>
      <c r="E175" s="5">
        <v>44141</v>
      </c>
      <c r="F175" s="4">
        <v>110.74</v>
      </c>
      <c r="G175" s="5">
        <v>44560</v>
      </c>
      <c r="H175" s="1">
        <v>209.08</v>
      </c>
      <c r="I175" s="12">
        <f t="shared" si="12"/>
        <v>0.88802600686292243</v>
      </c>
      <c r="J175" s="1">
        <f t="shared" si="13"/>
        <v>419</v>
      </c>
      <c r="K175" s="13">
        <f t="shared" si="14"/>
        <v>2.1193938111286931E-3</v>
      </c>
      <c r="L175" s="4">
        <f t="shared" si="15"/>
        <v>166.10999999999999</v>
      </c>
      <c r="M175" s="3">
        <v>44411</v>
      </c>
      <c r="N175" s="1">
        <f t="shared" si="16"/>
        <v>271</v>
      </c>
      <c r="O175" s="13">
        <f t="shared" si="17"/>
        <v>1.8450184501845018E-3</v>
      </c>
    </row>
    <row r="176" spans="1:15" x14ac:dyDescent="0.25">
      <c r="A176" s="2" t="s">
        <v>275</v>
      </c>
      <c r="B176" s="2" t="s">
        <v>276</v>
      </c>
      <c r="C176" s="3">
        <v>44140</v>
      </c>
      <c r="D176" s="12">
        <v>3.5400000000000001E-2</v>
      </c>
      <c r="E176" s="5">
        <v>44141</v>
      </c>
      <c r="F176" s="4">
        <v>26.23</v>
      </c>
      <c r="G176" s="5">
        <v>44446</v>
      </c>
      <c r="H176" s="1">
        <v>71.739999999999995</v>
      </c>
      <c r="I176" s="12">
        <f t="shared" si="12"/>
        <v>1.7350362180709111</v>
      </c>
      <c r="J176" s="1">
        <f t="shared" si="13"/>
        <v>305</v>
      </c>
      <c r="K176" s="13">
        <f t="shared" si="14"/>
        <v>5.6886433379374135E-3</v>
      </c>
      <c r="L176" s="4">
        <f t="shared" si="15"/>
        <v>39.344999999999999</v>
      </c>
      <c r="M176" s="3">
        <v>44231</v>
      </c>
      <c r="N176" s="1">
        <f t="shared" si="16"/>
        <v>91</v>
      </c>
      <c r="O176" s="13">
        <f t="shared" si="17"/>
        <v>5.4945054945054949E-3</v>
      </c>
    </row>
    <row r="177" spans="1:15" x14ac:dyDescent="0.25">
      <c r="A177" s="2" t="s">
        <v>289</v>
      </c>
      <c r="B177" s="2" t="s">
        <v>290</v>
      </c>
      <c r="C177" s="3">
        <v>44140</v>
      </c>
      <c r="D177" s="12">
        <v>0.1739</v>
      </c>
      <c r="E177" s="5">
        <v>44141</v>
      </c>
      <c r="F177" s="4">
        <v>40.42</v>
      </c>
      <c r="G177" s="5">
        <v>44461</v>
      </c>
      <c r="H177" s="1">
        <v>130.02000000000001</v>
      </c>
      <c r="I177" s="12">
        <f t="shared" si="12"/>
        <v>2.2167243938644239</v>
      </c>
      <c r="J177" s="1">
        <f t="shared" si="13"/>
        <v>320</v>
      </c>
      <c r="K177" s="13">
        <f t="shared" si="14"/>
        <v>6.9272637308263243E-3</v>
      </c>
      <c r="L177" s="4">
        <f t="shared" si="15"/>
        <v>60.63</v>
      </c>
      <c r="M177" s="3">
        <v>44168</v>
      </c>
      <c r="N177" s="1">
        <f t="shared" si="16"/>
        <v>28</v>
      </c>
      <c r="O177" s="13">
        <f t="shared" si="17"/>
        <v>1.7857142857142856E-2</v>
      </c>
    </row>
    <row r="178" spans="1:15" x14ac:dyDescent="0.25">
      <c r="A178" s="2" t="s">
        <v>307</v>
      </c>
      <c r="B178" s="2" t="s">
        <v>308</v>
      </c>
      <c r="C178" s="3">
        <v>44140</v>
      </c>
      <c r="D178" s="12">
        <v>5.0500000000000003E-2</v>
      </c>
      <c r="E178" s="5">
        <v>44141</v>
      </c>
      <c r="F178" s="4">
        <v>53.34</v>
      </c>
      <c r="G178" s="5">
        <v>44256</v>
      </c>
      <c r="H178" s="1">
        <v>93.78</v>
      </c>
      <c r="I178" s="12">
        <f t="shared" si="12"/>
        <v>0.7581552305961754</v>
      </c>
      <c r="J178" s="1">
        <f t="shared" si="13"/>
        <v>115</v>
      </c>
      <c r="K178" s="13">
        <f t="shared" si="14"/>
        <v>6.5926541790971771E-3</v>
      </c>
      <c r="L178" s="4">
        <f t="shared" si="15"/>
        <v>80.010000000000005</v>
      </c>
      <c r="M178" s="3">
        <v>44204</v>
      </c>
      <c r="N178" s="1">
        <f t="shared" si="16"/>
        <v>64</v>
      </c>
      <c r="O178" s="13">
        <f t="shared" si="17"/>
        <v>7.8125E-3</v>
      </c>
    </row>
    <row r="179" spans="1:15" x14ac:dyDescent="0.25">
      <c r="A179" s="2" t="s">
        <v>438</v>
      </c>
      <c r="B179" s="2" t="s">
        <v>439</v>
      </c>
      <c r="C179" s="3">
        <v>44140</v>
      </c>
      <c r="D179" s="12">
        <v>0.1186</v>
      </c>
      <c r="E179" s="5">
        <v>44141</v>
      </c>
      <c r="F179" s="4">
        <v>39.82</v>
      </c>
      <c r="G179" s="5">
        <v>44243</v>
      </c>
      <c r="H179" s="1">
        <v>81.36</v>
      </c>
      <c r="I179" s="12">
        <f t="shared" si="12"/>
        <v>1.0431943746860872</v>
      </c>
      <c r="J179" s="1">
        <f t="shared" si="13"/>
        <v>102</v>
      </c>
      <c r="K179" s="13">
        <f t="shared" si="14"/>
        <v>1.0227395830255757E-2</v>
      </c>
      <c r="L179" s="4">
        <f t="shared" si="15"/>
        <v>59.730000000000004</v>
      </c>
      <c r="M179" s="3">
        <v>44202</v>
      </c>
      <c r="N179" s="1">
        <f t="shared" si="16"/>
        <v>62</v>
      </c>
      <c r="O179" s="13">
        <f t="shared" si="17"/>
        <v>8.0645161290322578E-3</v>
      </c>
    </row>
    <row r="180" spans="1:15" x14ac:dyDescent="0.25">
      <c r="A180" s="2" t="s">
        <v>450</v>
      </c>
      <c r="B180" s="2" t="s">
        <v>451</v>
      </c>
      <c r="C180" s="3">
        <v>44140</v>
      </c>
      <c r="D180" s="12">
        <v>0.43569999999999998</v>
      </c>
      <c r="E180" s="5">
        <v>44141</v>
      </c>
      <c r="F180" s="4">
        <v>28.62</v>
      </c>
      <c r="G180" s="5">
        <v>44251</v>
      </c>
      <c r="H180" s="1">
        <v>63.88</v>
      </c>
      <c r="I180" s="12">
        <f t="shared" si="12"/>
        <v>1.2320055904961564</v>
      </c>
      <c r="J180" s="1">
        <f t="shared" si="13"/>
        <v>110</v>
      </c>
      <c r="K180" s="13">
        <f t="shared" si="14"/>
        <v>1.1200050822692331E-2</v>
      </c>
      <c r="L180" s="4">
        <f t="shared" si="15"/>
        <v>42.93</v>
      </c>
      <c r="M180" s="3">
        <v>44209</v>
      </c>
      <c r="N180" s="1">
        <f t="shared" si="16"/>
        <v>69</v>
      </c>
      <c r="O180" s="13">
        <f t="shared" si="17"/>
        <v>7.246376811594203E-3</v>
      </c>
    </row>
    <row r="181" spans="1:15" x14ac:dyDescent="0.25">
      <c r="A181" s="2" t="s">
        <v>481</v>
      </c>
      <c r="B181" s="2" t="s">
        <v>482</v>
      </c>
      <c r="C181" s="3">
        <v>44140</v>
      </c>
      <c r="D181" s="12">
        <v>0.19789999999999999</v>
      </c>
      <c r="E181" s="5">
        <v>44141</v>
      </c>
      <c r="F181" s="4">
        <v>68.53</v>
      </c>
      <c r="G181" s="5">
        <v>44504</v>
      </c>
      <c r="H181" s="1">
        <v>173.24</v>
      </c>
      <c r="I181" s="12">
        <f t="shared" si="12"/>
        <v>1.5279439661462133</v>
      </c>
      <c r="J181" s="1">
        <f t="shared" si="13"/>
        <v>363</v>
      </c>
      <c r="K181" s="13">
        <f t="shared" si="14"/>
        <v>4.2092120279510013E-3</v>
      </c>
      <c r="L181" s="4">
        <f t="shared" si="15"/>
        <v>102.795</v>
      </c>
      <c r="M181" s="3">
        <v>44230</v>
      </c>
      <c r="N181" s="1">
        <f t="shared" si="16"/>
        <v>90</v>
      </c>
      <c r="O181" s="13">
        <f t="shared" si="17"/>
        <v>5.5555555555555558E-3</v>
      </c>
    </row>
    <row r="182" spans="1:15" x14ac:dyDescent="0.25">
      <c r="A182" s="2" t="s">
        <v>29</v>
      </c>
      <c r="B182" s="2" t="s">
        <v>30</v>
      </c>
      <c r="C182" s="3">
        <v>44141</v>
      </c>
      <c r="D182" s="12">
        <v>0.20419999999999999</v>
      </c>
      <c r="E182" s="5">
        <v>44144</v>
      </c>
      <c r="F182" s="4">
        <v>91.25</v>
      </c>
      <c r="G182" s="5">
        <v>44223</v>
      </c>
      <c r="H182" s="1">
        <v>260</v>
      </c>
      <c r="I182" s="12">
        <f t="shared" si="12"/>
        <v>1.8493150684931505</v>
      </c>
      <c r="J182" s="1">
        <f t="shared" si="13"/>
        <v>79</v>
      </c>
      <c r="K182" s="13">
        <f t="shared" si="14"/>
        <v>2.3409051499913298E-2</v>
      </c>
      <c r="L182" s="4">
        <f t="shared" si="15"/>
        <v>136.875</v>
      </c>
      <c r="M182" s="3">
        <v>44158</v>
      </c>
      <c r="N182" s="1">
        <f t="shared" si="16"/>
        <v>15</v>
      </c>
      <c r="O182" s="13">
        <f t="shared" si="17"/>
        <v>3.3333333333333333E-2</v>
      </c>
    </row>
    <row r="183" spans="1:15" x14ac:dyDescent="0.25">
      <c r="A183" s="2" t="s">
        <v>109</v>
      </c>
      <c r="B183" s="2" t="s">
        <v>110</v>
      </c>
      <c r="C183" s="3">
        <v>44141</v>
      </c>
      <c r="D183" s="12">
        <v>9.1200000000000003E-2</v>
      </c>
      <c r="E183" s="5">
        <v>44144</v>
      </c>
      <c r="F183" s="4">
        <v>0.99</v>
      </c>
      <c r="G183" s="5">
        <v>44319</v>
      </c>
      <c r="H183" s="1">
        <v>3.66</v>
      </c>
      <c r="I183" s="12">
        <f t="shared" si="12"/>
        <v>2.6969696969696972</v>
      </c>
      <c r="J183" s="1">
        <f t="shared" si="13"/>
        <v>175</v>
      </c>
      <c r="K183" s="13">
        <f t="shared" si="14"/>
        <v>1.5411255411255412E-2</v>
      </c>
      <c r="L183" s="4">
        <f t="shared" si="15"/>
        <v>1.4849999999999999</v>
      </c>
      <c r="M183" s="3">
        <v>44223</v>
      </c>
      <c r="N183" s="1">
        <f t="shared" si="16"/>
        <v>80</v>
      </c>
      <c r="O183" s="13">
        <f t="shared" si="17"/>
        <v>6.2500000000000003E-3</v>
      </c>
    </row>
    <row r="184" spans="1:15" x14ac:dyDescent="0.25">
      <c r="A184" s="2" t="s">
        <v>315</v>
      </c>
      <c r="B184" s="2" t="s">
        <v>315</v>
      </c>
      <c r="C184" s="3">
        <v>44141</v>
      </c>
      <c r="D184" s="12">
        <v>0.41039999999999999</v>
      </c>
      <c r="E184" s="5">
        <v>44144</v>
      </c>
      <c r="F184" s="4">
        <v>16.649999999999999</v>
      </c>
      <c r="G184" s="5">
        <v>44236</v>
      </c>
      <c r="H184" s="1">
        <v>106.68</v>
      </c>
      <c r="I184" s="12">
        <f t="shared" si="12"/>
        <v>5.4072072072072084</v>
      </c>
      <c r="J184" s="1">
        <f t="shared" si="13"/>
        <v>92</v>
      </c>
      <c r="K184" s="13">
        <f t="shared" si="14"/>
        <v>5.8773991382687046E-2</v>
      </c>
      <c r="L184" s="4">
        <f t="shared" si="15"/>
        <v>24.974999999999998</v>
      </c>
      <c r="M184" s="3">
        <v>44166</v>
      </c>
      <c r="N184" s="1">
        <f t="shared" si="16"/>
        <v>23</v>
      </c>
      <c r="O184" s="13">
        <f t="shared" si="17"/>
        <v>2.1739130434782608E-2</v>
      </c>
    </row>
    <row r="185" spans="1:15" x14ac:dyDescent="0.25">
      <c r="A185" s="2" t="s">
        <v>12</v>
      </c>
      <c r="B185" s="2" t="s">
        <v>13</v>
      </c>
      <c r="C185" s="3">
        <v>44144</v>
      </c>
      <c r="D185" s="12">
        <v>5.62E-2</v>
      </c>
      <c r="E185" s="5">
        <v>44145</v>
      </c>
      <c r="F185" s="4">
        <v>84.2</v>
      </c>
      <c r="G185" s="5">
        <v>44326</v>
      </c>
      <c r="H185" s="1">
        <v>176.73</v>
      </c>
      <c r="I185" s="12">
        <f t="shared" si="12"/>
        <v>1.0989311163895485</v>
      </c>
      <c r="J185" s="1">
        <f t="shared" si="13"/>
        <v>181</v>
      </c>
      <c r="K185" s="13">
        <f t="shared" si="14"/>
        <v>6.071442631986456E-3</v>
      </c>
      <c r="L185" s="4">
        <f t="shared" si="15"/>
        <v>126.30000000000001</v>
      </c>
      <c r="M185" s="3">
        <v>44235</v>
      </c>
      <c r="N185" s="1">
        <f t="shared" si="16"/>
        <v>91</v>
      </c>
      <c r="O185" s="13">
        <f t="shared" si="17"/>
        <v>5.4945054945054949E-3</v>
      </c>
    </row>
    <row r="186" spans="1:15" x14ac:dyDescent="0.25">
      <c r="A186" s="2" t="s">
        <v>27</v>
      </c>
      <c r="B186" s="2" t="s">
        <v>28</v>
      </c>
      <c r="C186" s="3">
        <v>44144</v>
      </c>
      <c r="D186" s="12">
        <v>4.9200000000000001E-2</v>
      </c>
      <c r="E186" s="5">
        <v>44145</v>
      </c>
      <c r="F186" s="4">
        <v>12.07</v>
      </c>
      <c r="G186" s="5">
        <v>44505</v>
      </c>
      <c r="H186" s="1">
        <v>32</v>
      </c>
      <c r="I186" s="12">
        <f t="shared" si="12"/>
        <v>1.6512013256006628</v>
      </c>
      <c r="J186" s="1">
        <f t="shared" si="13"/>
        <v>360</v>
      </c>
      <c r="K186" s="13">
        <f t="shared" si="14"/>
        <v>4.5866703488907298E-3</v>
      </c>
      <c r="L186" s="4">
        <f t="shared" si="15"/>
        <v>18.105</v>
      </c>
      <c r="M186" s="3">
        <v>44203</v>
      </c>
      <c r="N186" s="1">
        <f t="shared" si="16"/>
        <v>59</v>
      </c>
      <c r="O186" s="13">
        <f t="shared" si="17"/>
        <v>8.4745762711864406E-3</v>
      </c>
    </row>
    <row r="187" spans="1:15" x14ac:dyDescent="0.25">
      <c r="A187" s="2" t="s">
        <v>60</v>
      </c>
      <c r="B187" s="2" t="s">
        <v>61</v>
      </c>
      <c r="C187" s="3">
        <v>44144</v>
      </c>
      <c r="D187" s="12">
        <v>3.2800000000000003E-2</v>
      </c>
      <c r="E187" s="5">
        <v>44145</v>
      </c>
      <c r="F187" s="4">
        <v>35.700000000000003</v>
      </c>
      <c r="G187" s="5">
        <v>44446</v>
      </c>
      <c r="H187" s="1">
        <v>68.7</v>
      </c>
      <c r="I187" s="12">
        <f t="shared" si="12"/>
        <v>0.92436974789915949</v>
      </c>
      <c r="J187" s="1">
        <f t="shared" si="13"/>
        <v>301</v>
      </c>
      <c r="K187" s="13">
        <f t="shared" si="14"/>
        <v>3.070995840196543E-3</v>
      </c>
      <c r="L187" s="4">
        <f t="shared" si="15"/>
        <v>53.550000000000004</v>
      </c>
      <c r="M187" s="3">
        <v>44215</v>
      </c>
      <c r="N187" s="1">
        <f t="shared" si="16"/>
        <v>71</v>
      </c>
      <c r="O187" s="13">
        <f t="shared" si="17"/>
        <v>7.0422535211267607E-3</v>
      </c>
    </row>
    <row r="188" spans="1:15" x14ac:dyDescent="0.25">
      <c r="A188" s="2" t="s">
        <v>153</v>
      </c>
      <c r="B188" s="2" t="s">
        <v>154</v>
      </c>
      <c r="C188" s="3">
        <v>44144</v>
      </c>
      <c r="D188" s="12">
        <v>0.22489999999999999</v>
      </c>
      <c r="E188" s="5">
        <v>44145</v>
      </c>
      <c r="F188" s="4">
        <v>42.54</v>
      </c>
      <c r="G188" s="5">
        <v>44273</v>
      </c>
      <c r="H188" s="1">
        <v>77.209999999999994</v>
      </c>
      <c r="I188" s="12">
        <f t="shared" si="12"/>
        <v>0.81499764927127405</v>
      </c>
      <c r="J188" s="1">
        <f t="shared" si="13"/>
        <v>128</v>
      </c>
      <c r="K188" s="13">
        <f t="shared" si="14"/>
        <v>6.3671691349318285E-3</v>
      </c>
      <c r="L188" s="4">
        <f t="shared" si="15"/>
        <v>63.81</v>
      </c>
      <c r="M188" s="3">
        <v>44243</v>
      </c>
      <c r="N188" s="1">
        <f t="shared" si="16"/>
        <v>99</v>
      </c>
      <c r="O188" s="13">
        <f t="shared" si="17"/>
        <v>5.0505050505050509E-3</v>
      </c>
    </row>
    <row r="189" spans="1:15" x14ac:dyDescent="0.25">
      <c r="A189" s="2" t="s">
        <v>163</v>
      </c>
      <c r="B189" s="2" t="s">
        <v>164</v>
      </c>
      <c r="C189" s="3">
        <v>44144</v>
      </c>
      <c r="D189" s="12">
        <v>0.15379999999999999</v>
      </c>
      <c r="E189" s="5">
        <v>44145</v>
      </c>
      <c r="F189" s="4">
        <v>1.88</v>
      </c>
      <c r="G189" s="5">
        <v>44508</v>
      </c>
      <c r="H189" s="1">
        <v>8.1199999999999992</v>
      </c>
      <c r="I189" s="12">
        <f t="shared" si="12"/>
        <v>3.3191489361702127</v>
      </c>
      <c r="J189" s="1">
        <f t="shared" si="13"/>
        <v>363</v>
      </c>
      <c r="K189" s="13">
        <f t="shared" si="14"/>
        <v>9.1436609811851588E-3</v>
      </c>
      <c r="L189" s="4">
        <f t="shared" si="15"/>
        <v>2.82</v>
      </c>
      <c r="M189" s="3">
        <v>44221</v>
      </c>
      <c r="N189" s="1">
        <f t="shared" si="16"/>
        <v>77</v>
      </c>
      <c r="O189" s="13">
        <f t="shared" si="17"/>
        <v>6.4935064935064939E-3</v>
      </c>
    </row>
    <row r="190" spans="1:15" x14ac:dyDescent="0.25">
      <c r="A190" s="2" t="s">
        <v>273</v>
      </c>
      <c r="B190" s="2" t="s">
        <v>274</v>
      </c>
      <c r="C190" s="3">
        <v>44144</v>
      </c>
      <c r="D190" s="12">
        <v>0.1452</v>
      </c>
      <c r="E190" s="5">
        <v>44145</v>
      </c>
      <c r="F190" s="4">
        <v>34.64</v>
      </c>
      <c r="G190" s="5">
        <v>44508</v>
      </c>
      <c r="H190" s="1">
        <v>83.42</v>
      </c>
      <c r="I190" s="12">
        <f t="shared" si="12"/>
        <v>1.4081986143187066</v>
      </c>
      <c r="J190" s="1">
        <f t="shared" si="13"/>
        <v>363</v>
      </c>
      <c r="K190" s="13">
        <f t="shared" si="14"/>
        <v>3.8793350256713681E-3</v>
      </c>
      <c r="L190" s="4">
        <f t="shared" si="15"/>
        <v>51.96</v>
      </c>
      <c r="M190" s="3">
        <v>44236</v>
      </c>
      <c r="N190" s="1">
        <f t="shared" si="16"/>
        <v>92</v>
      </c>
      <c r="O190" s="13">
        <f t="shared" si="17"/>
        <v>5.434782608695652E-3</v>
      </c>
    </row>
    <row r="191" spans="1:15" x14ac:dyDescent="0.25">
      <c r="A191" s="2" t="s">
        <v>521</v>
      </c>
      <c r="B191" s="2" t="s">
        <v>498</v>
      </c>
      <c r="C191" s="3">
        <v>44144</v>
      </c>
      <c r="D191" s="12">
        <v>0.1827</v>
      </c>
      <c r="E191" s="5">
        <v>44145</v>
      </c>
      <c r="F191" s="4">
        <v>5.36</v>
      </c>
      <c r="G191" s="5">
        <v>44564</v>
      </c>
      <c r="H191" s="1">
        <v>18.399999999999999</v>
      </c>
      <c r="I191" s="12">
        <f t="shared" si="12"/>
        <v>2.4328358208955221</v>
      </c>
      <c r="J191" s="1">
        <f t="shared" si="13"/>
        <v>419</v>
      </c>
      <c r="K191" s="13">
        <f t="shared" si="14"/>
        <v>5.8062907419940864E-3</v>
      </c>
      <c r="L191" s="4">
        <f t="shared" si="15"/>
        <v>8.0400000000000009</v>
      </c>
      <c r="M191" s="3">
        <v>44251</v>
      </c>
      <c r="N191" s="1">
        <f t="shared" si="16"/>
        <v>107</v>
      </c>
      <c r="O191" s="13">
        <f t="shared" si="17"/>
        <v>4.6728971962616819E-3</v>
      </c>
    </row>
    <row r="192" spans="1:15" x14ac:dyDescent="0.25">
      <c r="A192" s="2" t="s">
        <v>338</v>
      </c>
      <c r="B192" s="2" t="s">
        <v>339</v>
      </c>
      <c r="C192" s="3">
        <v>44144</v>
      </c>
      <c r="D192" s="12">
        <v>3.5700000000000003E-2</v>
      </c>
      <c r="E192" s="5">
        <v>44145</v>
      </c>
      <c r="F192" s="4">
        <v>27.5</v>
      </c>
      <c r="G192" s="5">
        <v>44565</v>
      </c>
      <c r="H192" s="1">
        <v>71.260000000000005</v>
      </c>
      <c r="I192" s="12">
        <f t="shared" si="12"/>
        <v>1.5912727272727274</v>
      </c>
      <c r="J192" s="1">
        <f t="shared" si="13"/>
        <v>420</v>
      </c>
      <c r="K192" s="13">
        <f t="shared" si="14"/>
        <v>3.7887445887445892E-3</v>
      </c>
      <c r="L192" s="4">
        <f t="shared" si="15"/>
        <v>41.25</v>
      </c>
      <c r="M192" s="3">
        <v>44237</v>
      </c>
      <c r="N192" s="1">
        <f t="shared" si="16"/>
        <v>93</v>
      </c>
      <c r="O192" s="13">
        <f t="shared" si="17"/>
        <v>5.3763440860215058E-3</v>
      </c>
    </row>
    <row r="193" spans="1:15" x14ac:dyDescent="0.25">
      <c r="A193" s="2" t="s">
        <v>342</v>
      </c>
      <c r="B193" s="2" t="s">
        <v>343</v>
      </c>
      <c r="C193" s="3">
        <v>44144</v>
      </c>
      <c r="D193" s="12">
        <v>6.2700000000000006E-2</v>
      </c>
      <c r="E193" s="5">
        <v>44145</v>
      </c>
      <c r="F193" s="4">
        <v>24.51</v>
      </c>
      <c r="G193" s="5">
        <v>44363</v>
      </c>
      <c r="H193" s="1">
        <v>52.15</v>
      </c>
      <c r="I193" s="12">
        <f t="shared" si="12"/>
        <v>1.1277029783761727</v>
      </c>
      <c r="J193" s="1">
        <f t="shared" si="13"/>
        <v>218</v>
      </c>
      <c r="K193" s="13">
        <f t="shared" si="14"/>
        <v>5.1729494420925358E-3</v>
      </c>
      <c r="L193" s="4">
        <f t="shared" si="15"/>
        <v>36.765000000000001</v>
      </c>
      <c r="M193" s="3">
        <v>44252</v>
      </c>
      <c r="N193" s="1">
        <f t="shared" si="16"/>
        <v>108</v>
      </c>
      <c r="O193" s="13">
        <f t="shared" si="17"/>
        <v>4.6296296296296294E-3</v>
      </c>
    </row>
    <row r="194" spans="1:15" x14ac:dyDescent="0.25">
      <c r="A194" s="2" t="s">
        <v>371</v>
      </c>
      <c r="B194" s="2" t="s">
        <v>372</v>
      </c>
      <c r="C194" s="3">
        <v>44144</v>
      </c>
      <c r="D194" s="12">
        <v>0.1042</v>
      </c>
      <c r="E194" s="5">
        <v>44145</v>
      </c>
      <c r="F194" s="4">
        <v>54.19</v>
      </c>
      <c r="G194" s="5">
        <v>44602</v>
      </c>
      <c r="H194" s="1">
        <v>112.55</v>
      </c>
      <c r="I194" s="12">
        <f t="shared" si="12"/>
        <v>1.0769514670603431</v>
      </c>
      <c r="J194" s="1">
        <f t="shared" si="13"/>
        <v>457</v>
      </c>
      <c r="K194" s="13">
        <f t="shared" si="14"/>
        <v>2.3565677616200066E-3</v>
      </c>
      <c r="L194" s="4">
        <f t="shared" si="15"/>
        <v>81.284999999999997</v>
      </c>
      <c r="M194" s="3">
        <v>44291</v>
      </c>
      <c r="N194" s="1">
        <f t="shared" si="16"/>
        <v>147</v>
      </c>
      <c r="O194" s="13">
        <f t="shared" si="17"/>
        <v>3.4013605442176869E-3</v>
      </c>
    </row>
    <row r="195" spans="1:15" x14ac:dyDescent="0.25">
      <c r="A195" s="2" t="s">
        <v>377</v>
      </c>
      <c r="B195" s="2" t="s">
        <v>378</v>
      </c>
      <c r="C195" s="3">
        <v>44144</v>
      </c>
      <c r="D195" s="12">
        <v>0.27639999999999998</v>
      </c>
      <c r="E195" s="5">
        <v>44145</v>
      </c>
      <c r="F195" s="4">
        <v>17.18</v>
      </c>
      <c r="G195" s="5">
        <v>44281</v>
      </c>
      <c r="H195" s="1">
        <v>41.34</v>
      </c>
      <c r="I195" s="12">
        <f t="shared" si="12"/>
        <v>1.4062863795110596</v>
      </c>
      <c r="J195" s="1">
        <f t="shared" si="13"/>
        <v>136</v>
      </c>
      <c r="K195" s="13">
        <f t="shared" si="14"/>
        <v>1.0340341025816616E-2</v>
      </c>
      <c r="L195" s="4">
        <f t="shared" si="15"/>
        <v>25.77</v>
      </c>
      <c r="M195" s="3">
        <v>44210</v>
      </c>
      <c r="N195" s="1">
        <f t="shared" si="16"/>
        <v>66</v>
      </c>
      <c r="O195" s="13">
        <f t="shared" si="17"/>
        <v>7.575757575757576E-3</v>
      </c>
    </row>
    <row r="196" spans="1:15" x14ac:dyDescent="0.25">
      <c r="A196" s="2" t="s">
        <v>404</v>
      </c>
      <c r="B196" s="2" t="s">
        <v>405</v>
      </c>
      <c r="C196" s="3">
        <v>44144</v>
      </c>
      <c r="D196" s="12">
        <v>3.6299999999999999E-2</v>
      </c>
      <c r="E196" s="5">
        <v>44145</v>
      </c>
      <c r="F196" s="4">
        <v>27.89</v>
      </c>
      <c r="G196" s="5">
        <v>44252</v>
      </c>
      <c r="H196" s="1">
        <v>55.89</v>
      </c>
      <c r="I196" s="12">
        <f t="shared" ref="I196:I259" si="18">H196/F196-1</f>
        <v>1.0039440659734673</v>
      </c>
      <c r="J196" s="1">
        <f t="shared" ref="J196:J259" si="19">G196-E196</f>
        <v>107</v>
      </c>
      <c r="K196" s="13">
        <f t="shared" ref="K196:K259" si="20">I196/J196</f>
        <v>9.3826548221819378E-3</v>
      </c>
      <c r="L196" s="4">
        <f t="shared" ref="L196:L259" si="21">F196*1.5</f>
        <v>41.835000000000001</v>
      </c>
      <c r="M196" s="3">
        <v>44183</v>
      </c>
      <c r="N196" s="1">
        <f t="shared" ref="N196:N259" si="22">M196-E196+1</f>
        <v>39</v>
      </c>
      <c r="O196" s="13">
        <f t="shared" ref="O196:O259" si="23">50/100/N196</f>
        <v>1.282051282051282E-2</v>
      </c>
    </row>
    <row r="197" spans="1:15" x14ac:dyDescent="0.25">
      <c r="A197" s="2" t="s">
        <v>408</v>
      </c>
      <c r="B197" s="2" t="s">
        <v>409</v>
      </c>
      <c r="C197" s="3">
        <v>44144</v>
      </c>
      <c r="D197" s="12">
        <v>0.13239999999999999</v>
      </c>
      <c r="E197" s="5">
        <v>44145</v>
      </c>
      <c r="F197" s="4">
        <v>42.64</v>
      </c>
      <c r="G197" s="5">
        <v>44601</v>
      </c>
      <c r="H197" s="1">
        <v>79.099999999999994</v>
      </c>
      <c r="I197" s="12">
        <f t="shared" si="18"/>
        <v>0.85506566604127565</v>
      </c>
      <c r="J197" s="1">
        <f t="shared" si="19"/>
        <v>456</v>
      </c>
      <c r="K197" s="13">
        <f t="shared" si="20"/>
        <v>1.8751440044764817E-3</v>
      </c>
      <c r="L197" s="4">
        <f t="shared" si="21"/>
        <v>63.96</v>
      </c>
      <c r="M197" s="3">
        <v>44267</v>
      </c>
      <c r="N197" s="1">
        <f t="shared" si="22"/>
        <v>123</v>
      </c>
      <c r="O197" s="13">
        <f t="shared" si="23"/>
        <v>4.0650406504065045E-3</v>
      </c>
    </row>
    <row r="198" spans="1:15" x14ac:dyDescent="0.25">
      <c r="A198" s="2" t="s">
        <v>523</v>
      </c>
      <c r="B198" s="2" t="s">
        <v>444</v>
      </c>
      <c r="C198" s="3">
        <v>44144</v>
      </c>
      <c r="D198" s="12">
        <v>0.41670000000000001</v>
      </c>
      <c r="E198" s="5">
        <v>44145</v>
      </c>
      <c r="F198" s="4">
        <v>1.49</v>
      </c>
      <c r="G198" s="5">
        <v>44160</v>
      </c>
      <c r="H198" s="1">
        <v>4.51</v>
      </c>
      <c r="I198" s="12">
        <f t="shared" si="18"/>
        <v>2.0268456375838926</v>
      </c>
      <c r="J198" s="1">
        <f t="shared" si="19"/>
        <v>15</v>
      </c>
      <c r="K198" s="13">
        <f t="shared" si="20"/>
        <v>0.13512304250559284</v>
      </c>
      <c r="L198" s="4">
        <f t="shared" si="21"/>
        <v>2.2349999999999999</v>
      </c>
      <c r="M198" s="3">
        <v>44152</v>
      </c>
      <c r="N198" s="1">
        <f t="shared" si="22"/>
        <v>8</v>
      </c>
      <c r="O198" s="13">
        <f t="shared" si="23"/>
        <v>6.25E-2</v>
      </c>
    </row>
    <row r="199" spans="1:15" x14ac:dyDescent="0.25">
      <c r="A199" s="2" t="s">
        <v>473</v>
      </c>
      <c r="B199" s="2" t="s">
        <v>474</v>
      </c>
      <c r="C199" s="3">
        <v>44144</v>
      </c>
      <c r="D199" s="12">
        <v>0.11269999999999999</v>
      </c>
      <c r="E199" s="5">
        <v>44145</v>
      </c>
      <c r="F199" s="4">
        <v>49.75</v>
      </c>
      <c r="G199" s="5">
        <v>44600</v>
      </c>
      <c r="H199" s="1">
        <v>100.55</v>
      </c>
      <c r="I199" s="12">
        <f t="shared" si="18"/>
        <v>1.0211055276381908</v>
      </c>
      <c r="J199" s="1">
        <f t="shared" si="19"/>
        <v>455</v>
      </c>
      <c r="K199" s="13">
        <f t="shared" si="20"/>
        <v>2.2441879728311888E-3</v>
      </c>
      <c r="L199" s="4">
        <f t="shared" si="21"/>
        <v>74.625</v>
      </c>
      <c r="M199" s="3">
        <v>44260</v>
      </c>
      <c r="N199" s="1">
        <f t="shared" si="22"/>
        <v>116</v>
      </c>
      <c r="O199" s="13">
        <f t="shared" si="23"/>
        <v>4.3103448275862068E-3</v>
      </c>
    </row>
    <row r="200" spans="1:15" x14ac:dyDescent="0.25">
      <c r="A200" s="2" t="s">
        <v>517</v>
      </c>
      <c r="B200" s="2" t="s">
        <v>518</v>
      </c>
      <c r="C200" s="3">
        <v>44144</v>
      </c>
      <c r="D200" s="12">
        <v>1.66E-2</v>
      </c>
      <c r="E200" s="5">
        <v>44139</v>
      </c>
      <c r="F200" s="4">
        <v>21.36</v>
      </c>
      <c r="G200" s="5">
        <v>44579</v>
      </c>
      <c r="H200" s="1">
        <v>47</v>
      </c>
      <c r="I200" s="12">
        <f t="shared" si="18"/>
        <v>1.2003745318352061</v>
      </c>
      <c r="J200" s="1">
        <f t="shared" si="19"/>
        <v>440</v>
      </c>
      <c r="K200" s="13">
        <f t="shared" si="20"/>
        <v>2.7281239359891051E-3</v>
      </c>
      <c r="L200" s="4">
        <f t="shared" si="21"/>
        <v>32.04</v>
      </c>
      <c r="M200" s="3">
        <v>44251</v>
      </c>
      <c r="N200" s="1">
        <f t="shared" si="22"/>
        <v>113</v>
      </c>
      <c r="O200" s="13">
        <f t="shared" si="23"/>
        <v>4.4247787610619468E-3</v>
      </c>
    </row>
    <row r="201" spans="1:15" x14ac:dyDescent="0.25">
      <c r="A201" s="2" t="s">
        <v>267</v>
      </c>
      <c r="B201" s="2" t="s">
        <v>268</v>
      </c>
      <c r="C201" s="3">
        <v>44144</v>
      </c>
      <c r="D201" s="12">
        <v>0.19989999999999999</v>
      </c>
      <c r="E201" s="5">
        <v>44145</v>
      </c>
      <c r="F201" s="4">
        <v>23.01</v>
      </c>
      <c r="G201" s="5">
        <v>44270</v>
      </c>
      <c r="H201" s="1">
        <v>57.22</v>
      </c>
      <c r="I201" s="12">
        <f t="shared" si="18"/>
        <v>1.4867448935245542</v>
      </c>
      <c r="J201" s="1">
        <f t="shared" si="19"/>
        <v>125</v>
      </c>
      <c r="K201" s="13">
        <f t="shared" si="20"/>
        <v>1.1893959148196433E-2</v>
      </c>
      <c r="L201" s="4">
        <f t="shared" si="21"/>
        <v>34.515000000000001</v>
      </c>
      <c r="M201" s="3">
        <v>44168</v>
      </c>
      <c r="N201" s="1">
        <f t="shared" si="22"/>
        <v>24</v>
      </c>
      <c r="O201" s="13">
        <f t="shared" si="23"/>
        <v>2.0833333333333332E-2</v>
      </c>
    </row>
    <row r="202" spans="1:15" x14ac:dyDescent="0.25">
      <c r="A202" s="2" t="s">
        <v>348</v>
      </c>
      <c r="B202" s="2" t="s">
        <v>349</v>
      </c>
      <c r="C202" s="3">
        <v>44144</v>
      </c>
      <c r="D202" s="12">
        <v>0.34620000000000001</v>
      </c>
      <c r="E202" s="5">
        <v>44145</v>
      </c>
      <c r="F202" s="4">
        <v>2.9</v>
      </c>
      <c r="G202" s="5">
        <v>44235</v>
      </c>
      <c r="H202" s="1">
        <v>9.2100000000000009</v>
      </c>
      <c r="I202" s="12">
        <f t="shared" si="18"/>
        <v>2.1758620689655177</v>
      </c>
      <c r="J202" s="1">
        <f t="shared" si="19"/>
        <v>90</v>
      </c>
      <c r="K202" s="13">
        <f t="shared" si="20"/>
        <v>2.4176245210727976E-2</v>
      </c>
      <c r="L202" s="4">
        <f t="shared" si="21"/>
        <v>4.3499999999999996</v>
      </c>
      <c r="M202" s="3">
        <v>44153</v>
      </c>
      <c r="N202" s="1">
        <f t="shared" si="22"/>
        <v>9</v>
      </c>
      <c r="O202" s="13">
        <f t="shared" si="23"/>
        <v>5.5555555555555552E-2</v>
      </c>
    </row>
    <row r="203" spans="1:15" x14ac:dyDescent="0.25">
      <c r="A203" s="2" t="s">
        <v>217</v>
      </c>
      <c r="B203" s="2" t="s">
        <v>218</v>
      </c>
      <c r="C203" s="3">
        <v>44145</v>
      </c>
      <c r="D203" s="12">
        <v>1.2051000000000001</v>
      </c>
      <c r="E203" s="5">
        <v>44146</v>
      </c>
      <c r="F203" s="4">
        <v>4.24</v>
      </c>
      <c r="G203" s="5">
        <v>44245</v>
      </c>
      <c r="H203" s="1">
        <v>26.42</v>
      </c>
      <c r="I203" s="12">
        <f t="shared" si="18"/>
        <v>5.2311320754716979</v>
      </c>
      <c r="J203" s="1">
        <f t="shared" si="19"/>
        <v>99</v>
      </c>
      <c r="K203" s="13">
        <f t="shared" si="20"/>
        <v>5.2839717934057555E-2</v>
      </c>
      <c r="L203" s="4">
        <f t="shared" si="21"/>
        <v>6.36</v>
      </c>
      <c r="M203" s="3">
        <v>44146</v>
      </c>
      <c r="N203" s="1">
        <f t="shared" si="22"/>
        <v>1</v>
      </c>
      <c r="O203" s="13">
        <f t="shared" si="23"/>
        <v>0.5</v>
      </c>
    </row>
    <row r="204" spans="1:15" x14ac:dyDescent="0.25">
      <c r="A204" s="2" t="s">
        <v>326</v>
      </c>
      <c r="B204" s="2" t="s">
        <v>327</v>
      </c>
      <c r="C204" s="3">
        <v>44145</v>
      </c>
      <c r="D204" s="12">
        <v>0.15559999999999999</v>
      </c>
      <c r="E204" s="5">
        <v>44146</v>
      </c>
      <c r="F204" s="4">
        <v>15.77</v>
      </c>
      <c r="G204" s="5">
        <v>44292</v>
      </c>
      <c r="H204" s="1">
        <v>29.2</v>
      </c>
      <c r="I204" s="12">
        <f t="shared" si="18"/>
        <v>0.85161699429296123</v>
      </c>
      <c r="J204" s="1">
        <f t="shared" si="19"/>
        <v>146</v>
      </c>
      <c r="K204" s="13">
        <f t="shared" si="20"/>
        <v>5.832993111595625E-3</v>
      </c>
      <c r="L204" s="4">
        <f t="shared" si="21"/>
        <v>23.655000000000001</v>
      </c>
      <c r="M204" s="3">
        <v>44202</v>
      </c>
      <c r="N204" s="1">
        <f t="shared" si="22"/>
        <v>57</v>
      </c>
      <c r="O204" s="13">
        <f t="shared" si="23"/>
        <v>8.771929824561403E-3</v>
      </c>
    </row>
    <row r="205" spans="1:15" x14ac:dyDescent="0.25">
      <c r="A205" s="2" t="s">
        <v>442</v>
      </c>
      <c r="B205" s="2" t="s">
        <v>443</v>
      </c>
      <c r="C205" s="3">
        <v>44145</v>
      </c>
      <c r="D205" s="12">
        <v>7.6100000000000001E-2</v>
      </c>
      <c r="E205" s="5">
        <v>44146</v>
      </c>
      <c r="F205" s="4">
        <v>48.72</v>
      </c>
      <c r="G205" s="5">
        <v>44518</v>
      </c>
      <c r="H205" s="1">
        <v>135.57</v>
      </c>
      <c r="I205" s="12">
        <f t="shared" si="18"/>
        <v>1.7826354679802954</v>
      </c>
      <c r="J205" s="1">
        <f t="shared" si="19"/>
        <v>372</v>
      </c>
      <c r="K205" s="13">
        <f t="shared" si="20"/>
        <v>4.7920308279040197E-3</v>
      </c>
      <c r="L205" s="4">
        <f t="shared" si="21"/>
        <v>73.08</v>
      </c>
      <c r="M205" s="3">
        <v>44246</v>
      </c>
      <c r="N205" s="1">
        <f t="shared" si="22"/>
        <v>101</v>
      </c>
      <c r="O205" s="13">
        <f t="shared" si="23"/>
        <v>4.9504950495049506E-3</v>
      </c>
    </row>
    <row r="206" spans="1:15" x14ac:dyDescent="0.25">
      <c r="A206" s="2" t="s">
        <v>465</v>
      </c>
      <c r="B206" s="2" t="s">
        <v>466</v>
      </c>
      <c r="C206" s="3">
        <v>44145</v>
      </c>
      <c r="D206" s="12">
        <v>1.7299999999999999E-2</v>
      </c>
      <c r="E206" s="5">
        <v>44146</v>
      </c>
      <c r="F206" s="4">
        <v>461</v>
      </c>
      <c r="G206" s="5">
        <v>44565</v>
      </c>
      <c r="H206" s="1">
        <v>1600</v>
      </c>
      <c r="I206" s="12">
        <f t="shared" si="18"/>
        <v>2.4707158351409979</v>
      </c>
      <c r="J206" s="1">
        <f t="shared" si="19"/>
        <v>419</v>
      </c>
      <c r="K206" s="13">
        <f t="shared" si="20"/>
        <v>5.8966965039164631E-3</v>
      </c>
      <c r="L206" s="4">
        <f t="shared" si="21"/>
        <v>691.5</v>
      </c>
      <c r="M206" s="3">
        <v>44236</v>
      </c>
      <c r="N206" s="1">
        <f t="shared" si="22"/>
        <v>91</v>
      </c>
      <c r="O206" s="13">
        <f t="shared" si="23"/>
        <v>5.4945054945054949E-3</v>
      </c>
    </row>
    <row r="207" spans="1:15" x14ac:dyDescent="0.25">
      <c r="A207" s="2" t="s">
        <v>133</v>
      </c>
      <c r="B207" s="2" t="s">
        <v>134</v>
      </c>
      <c r="C207" s="3">
        <v>44146</v>
      </c>
      <c r="D207" s="12">
        <v>2.0799999999999999E-2</v>
      </c>
      <c r="E207" s="5">
        <v>44147</v>
      </c>
      <c r="F207" s="4">
        <v>19.899999999999999</v>
      </c>
      <c r="G207" s="5">
        <v>44382</v>
      </c>
      <c r="H207" s="1">
        <v>62.6</v>
      </c>
      <c r="I207" s="12">
        <f t="shared" si="18"/>
        <v>2.1457286432160805</v>
      </c>
      <c r="J207" s="1">
        <f t="shared" si="19"/>
        <v>235</v>
      </c>
      <c r="K207" s="13">
        <f t="shared" si="20"/>
        <v>9.1307601838982143E-3</v>
      </c>
      <c r="L207" s="4">
        <f t="shared" si="21"/>
        <v>29.849999999999998</v>
      </c>
      <c r="M207" s="3">
        <v>44189</v>
      </c>
      <c r="N207" s="1">
        <f t="shared" si="22"/>
        <v>43</v>
      </c>
      <c r="O207" s="13">
        <f t="shared" si="23"/>
        <v>1.1627906976744186E-2</v>
      </c>
    </row>
    <row r="208" spans="1:15" x14ac:dyDescent="0.25">
      <c r="A208" s="2" t="s">
        <v>175</v>
      </c>
      <c r="B208" s="2" t="s">
        <v>176</v>
      </c>
      <c r="C208" s="3">
        <v>44146</v>
      </c>
      <c r="D208" s="12">
        <v>3.8600000000000002E-2</v>
      </c>
      <c r="E208" s="5">
        <v>44147</v>
      </c>
      <c r="F208" s="4">
        <v>4.9000000000000004</v>
      </c>
      <c r="G208" s="5">
        <v>44315</v>
      </c>
      <c r="H208" s="1">
        <v>12.06</v>
      </c>
      <c r="I208" s="12">
        <f t="shared" si="18"/>
        <v>1.4612244897959181</v>
      </c>
      <c r="J208" s="1">
        <f t="shared" si="19"/>
        <v>168</v>
      </c>
      <c r="K208" s="13">
        <f t="shared" si="20"/>
        <v>8.6977648202137981E-3</v>
      </c>
      <c r="L208" s="4">
        <f t="shared" si="21"/>
        <v>7.3500000000000005</v>
      </c>
      <c r="M208" s="3">
        <v>44202</v>
      </c>
      <c r="N208" s="1">
        <f t="shared" si="22"/>
        <v>56</v>
      </c>
      <c r="O208" s="13">
        <f t="shared" si="23"/>
        <v>8.9285714285714281E-3</v>
      </c>
    </row>
    <row r="209" spans="1:15" x14ac:dyDescent="0.25">
      <c r="A209" s="2" t="s">
        <v>524</v>
      </c>
      <c r="B209" s="2" t="s">
        <v>525</v>
      </c>
      <c r="C209" s="3">
        <v>44146</v>
      </c>
      <c r="D209" s="12">
        <v>8.4000000000000005E-2</v>
      </c>
      <c r="E209" s="5">
        <v>44147</v>
      </c>
      <c r="F209" s="4">
        <v>85.18</v>
      </c>
      <c r="G209" s="5">
        <v>44427</v>
      </c>
      <c r="H209" s="1">
        <v>497.49</v>
      </c>
      <c r="I209" s="12">
        <f t="shared" si="18"/>
        <v>4.8404555059873209</v>
      </c>
      <c r="J209" s="1">
        <f t="shared" si="19"/>
        <v>280</v>
      </c>
      <c r="K209" s="13">
        <f t="shared" si="20"/>
        <v>1.728734109281186E-2</v>
      </c>
      <c r="L209" s="4">
        <f t="shared" si="21"/>
        <v>127.77000000000001</v>
      </c>
      <c r="M209" s="3">
        <v>44162</v>
      </c>
      <c r="N209" s="1">
        <f t="shared" si="22"/>
        <v>16</v>
      </c>
      <c r="O209" s="13">
        <f t="shared" si="23"/>
        <v>3.125E-2</v>
      </c>
    </row>
    <row r="210" spans="1:15" x14ac:dyDescent="0.25">
      <c r="A210" s="2" t="s">
        <v>485</v>
      </c>
      <c r="B210" s="2" t="s">
        <v>486</v>
      </c>
      <c r="C210" s="3">
        <v>44146</v>
      </c>
      <c r="D210" s="12">
        <v>0.1431</v>
      </c>
      <c r="E210" s="5">
        <v>44147</v>
      </c>
      <c r="F210" s="4">
        <v>98</v>
      </c>
      <c r="G210" s="5">
        <v>44216</v>
      </c>
      <c r="H210" s="1">
        <v>193.54</v>
      </c>
      <c r="I210" s="12">
        <f t="shared" si="18"/>
        <v>0.97489795918367328</v>
      </c>
      <c r="J210" s="1">
        <f t="shared" si="19"/>
        <v>69</v>
      </c>
      <c r="K210" s="13">
        <f t="shared" si="20"/>
        <v>1.4128955930198164E-2</v>
      </c>
      <c r="L210" s="4">
        <f t="shared" si="21"/>
        <v>147</v>
      </c>
      <c r="M210" s="3">
        <v>44204</v>
      </c>
      <c r="N210" s="1">
        <f t="shared" si="22"/>
        <v>58</v>
      </c>
      <c r="O210" s="13">
        <f t="shared" si="23"/>
        <v>8.6206896551724137E-3</v>
      </c>
    </row>
    <row r="211" spans="1:15" x14ac:dyDescent="0.25">
      <c r="A211" s="2" t="s">
        <v>245</v>
      </c>
      <c r="B211" s="2" t="s">
        <v>246</v>
      </c>
      <c r="C211" s="3">
        <v>44146</v>
      </c>
      <c r="D211" s="12">
        <v>0.20799999999999999</v>
      </c>
      <c r="E211" s="5">
        <v>44147</v>
      </c>
      <c r="F211" s="4">
        <v>1.5</v>
      </c>
      <c r="G211" s="5">
        <v>44238</v>
      </c>
      <c r="H211" s="1">
        <v>5.98</v>
      </c>
      <c r="I211" s="12">
        <f t="shared" si="18"/>
        <v>2.9866666666666668</v>
      </c>
      <c r="J211" s="1">
        <f t="shared" si="19"/>
        <v>91</v>
      </c>
      <c r="K211" s="13">
        <f t="shared" si="20"/>
        <v>3.282051282051282E-2</v>
      </c>
      <c r="L211" s="4">
        <f t="shared" si="21"/>
        <v>2.25</v>
      </c>
      <c r="M211" s="3">
        <v>44168</v>
      </c>
      <c r="N211" s="1">
        <f t="shared" si="22"/>
        <v>22</v>
      </c>
      <c r="O211" s="13">
        <f t="shared" si="23"/>
        <v>2.2727272727272728E-2</v>
      </c>
    </row>
    <row r="212" spans="1:15" x14ac:dyDescent="0.25">
      <c r="A212" s="2" t="s">
        <v>410</v>
      </c>
      <c r="B212" s="2" t="s">
        <v>411</v>
      </c>
      <c r="C212" s="3">
        <v>44146</v>
      </c>
      <c r="D212" s="12">
        <v>9.7600000000000006E-2</v>
      </c>
      <c r="E212" s="5">
        <v>44147</v>
      </c>
      <c r="F212" s="4">
        <v>3.75</v>
      </c>
      <c r="G212" s="5">
        <v>44235</v>
      </c>
      <c r="H212" s="1">
        <v>12.3</v>
      </c>
      <c r="I212" s="12">
        <f t="shared" si="18"/>
        <v>2.2800000000000002</v>
      </c>
      <c r="J212" s="1">
        <f t="shared" si="19"/>
        <v>88</v>
      </c>
      <c r="K212" s="13">
        <f t="shared" si="20"/>
        <v>2.5909090909090913E-2</v>
      </c>
      <c r="L212" s="4">
        <f t="shared" si="21"/>
        <v>5.625</v>
      </c>
      <c r="M212" s="3">
        <v>44180</v>
      </c>
      <c r="N212" s="1">
        <f t="shared" si="22"/>
        <v>34</v>
      </c>
      <c r="O212" s="13">
        <f t="shared" si="23"/>
        <v>1.4705882352941176E-2</v>
      </c>
    </row>
    <row r="213" spans="1:15" x14ac:dyDescent="0.25">
      <c r="A213" s="2" t="s">
        <v>83</v>
      </c>
      <c r="B213" s="2" t="s">
        <v>84</v>
      </c>
      <c r="C213" s="3">
        <v>44147</v>
      </c>
      <c r="D213" s="12">
        <v>5.0799999999999998E-2</v>
      </c>
      <c r="E213" s="5">
        <v>44148</v>
      </c>
      <c r="F213" s="4">
        <v>43.95</v>
      </c>
      <c r="G213" s="5">
        <v>44200</v>
      </c>
      <c r="H213" s="1">
        <v>71.56</v>
      </c>
      <c r="I213" s="12">
        <f t="shared" si="18"/>
        <v>0.62821387940841866</v>
      </c>
      <c r="J213" s="1">
        <f t="shared" si="19"/>
        <v>52</v>
      </c>
      <c r="K213" s="13">
        <f t="shared" si="20"/>
        <v>1.208103614246959E-2</v>
      </c>
      <c r="L213" s="4">
        <f t="shared" si="21"/>
        <v>65.925000000000011</v>
      </c>
      <c r="M213" s="3">
        <v>44183</v>
      </c>
      <c r="N213" s="1">
        <f t="shared" si="22"/>
        <v>36</v>
      </c>
      <c r="O213" s="13">
        <f t="shared" si="23"/>
        <v>1.3888888888888888E-2</v>
      </c>
    </row>
    <row r="214" spans="1:15" x14ac:dyDescent="0.25">
      <c r="A214" s="2" t="s">
        <v>155</v>
      </c>
      <c r="B214" s="2" t="s">
        <v>156</v>
      </c>
      <c r="C214" s="3">
        <v>44148</v>
      </c>
      <c r="D214" s="12">
        <v>0.28460000000000002</v>
      </c>
      <c r="E214" s="5">
        <v>44151</v>
      </c>
      <c r="F214" s="4">
        <v>5.0599999999999996</v>
      </c>
      <c r="G214" s="5">
        <v>44218</v>
      </c>
      <c r="H214" s="1">
        <v>35.770000000000003</v>
      </c>
      <c r="I214" s="12">
        <f t="shared" si="18"/>
        <v>6.0691699604743095</v>
      </c>
      <c r="J214" s="1">
        <f t="shared" si="19"/>
        <v>67</v>
      </c>
      <c r="K214" s="13">
        <f t="shared" si="20"/>
        <v>9.0584626275735963E-2</v>
      </c>
      <c r="L214" s="4">
        <f t="shared" si="21"/>
        <v>7.59</v>
      </c>
      <c r="M214" s="3">
        <v>44162</v>
      </c>
      <c r="N214" s="1">
        <f t="shared" si="22"/>
        <v>12</v>
      </c>
      <c r="O214" s="13">
        <f t="shared" si="23"/>
        <v>4.1666666666666664E-2</v>
      </c>
    </row>
    <row r="215" spans="1:15" x14ac:dyDescent="0.25">
      <c r="A215" s="2" t="s">
        <v>0</v>
      </c>
      <c r="B215" s="2" t="s">
        <v>1</v>
      </c>
      <c r="C215" s="3">
        <v>44151</v>
      </c>
      <c r="D215" s="12">
        <v>0.14130000000000001</v>
      </c>
      <c r="E215" s="5">
        <v>44152</v>
      </c>
      <c r="F215" s="4">
        <v>13.95</v>
      </c>
      <c r="G215" s="5">
        <v>44312</v>
      </c>
      <c r="H215" s="1">
        <v>91.05</v>
      </c>
      <c r="I215" s="12">
        <f t="shared" si="18"/>
        <v>5.5268817204301079</v>
      </c>
      <c r="J215" s="1">
        <f t="shared" si="19"/>
        <v>160</v>
      </c>
      <c r="K215" s="13">
        <f t="shared" si="20"/>
        <v>3.4543010752688175E-2</v>
      </c>
      <c r="L215" s="4">
        <f t="shared" si="21"/>
        <v>20.924999999999997</v>
      </c>
      <c r="M215" s="3">
        <v>44153</v>
      </c>
      <c r="N215" s="1">
        <f t="shared" si="22"/>
        <v>2</v>
      </c>
      <c r="O215" s="13">
        <f t="shared" si="23"/>
        <v>0.25</v>
      </c>
    </row>
    <row r="216" spans="1:15" x14ac:dyDescent="0.25">
      <c r="A216" s="2" t="s">
        <v>167</v>
      </c>
      <c r="B216" s="2" t="s">
        <v>168</v>
      </c>
      <c r="C216" s="3">
        <v>44151</v>
      </c>
      <c r="D216" s="12">
        <v>3.6499999999999998E-2</v>
      </c>
      <c r="E216" s="5">
        <v>44152</v>
      </c>
      <c r="F216" s="4">
        <v>13.84</v>
      </c>
      <c r="G216" s="5">
        <v>44326</v>
      </c>
      <c r="H216" s="1">
        <v>26.53</v>
      </c>
      <c r="I216" s="12">
        <f t="shared" si="18"/>
        <v>0.91690751445086716</v>
      </c>
      <c r="J216" s="1">
        <f t="shared" si="19"/>
        <v>174</v>
      </c>
      <c r="K216" s="13">
        <f t="shared" si="20"/>
        <v>5.2695834163842938E-3</v>
      </c>
      <c r="L216" s="4">
        <f t="shared" si="21"/>
        <v>20.759999999999998</v>
      </c>
      <c r="M216" s="3">
        <v>44252</v>
      </c>
      <c r="N216" s="1">
        <f t="shared" si="22"/>
        <v>101</v>
      </c>
      <c r="O216" s="13">
        <f t="shared" si="23"/>
        <v>4.9504950495049506E-3</v>
      </c>
    </row>
    <row r="217" spans="1:15" x14ac:dyDescent="0.25">
      <c r="A217" s="2" t="s">
        <v>171</v>
      </c>
      <c r="B217" s="2" t="s">
        <v>172</v>
      </c>
      <c r="C217" s="3">
        <v>44151</v>
      </c>
      <c r="D217" s="12">
        <v>3.15E-2</v>
      </c>
      <c r="E217" s="5">
        <v>44152</v>
      </c>
      <c r="F217" s="4">
        <v>38.299999999999997</v>
      </c>
      <c r="G217" s="5">
        <v>44379</v>
      </c>
      <c r="H217" s="1">
        <v>86.5</v>
      </c>
      <c r="I217" s="12">
        <f t="shared" si="18"/>
        <v>1.2584856396866844</v>
      </c>
      <c r="J217" s="1">
        <f t="shared" si="19"/>
        <v>227</v>
      </c>
      <c r="K217" s="13">
        <f t="shared" si="20"/>
        <v>5.543989602143984E-3</v>
      </c>
      <c r="L217" s="4">
        <f t="shared" si="21"/>
        <v>57.449999999999996</v>
      </c>
      <c r="M217" s="3">
        <v>44200</v>
      </c>
      <c r="N217" s="1">
        <f t="shared" si="22"/>
        <v>49</v>
      </c>
      <c r="O217" s="13">
        <f t="shared" si="23"/>
        <v>1.020408163265306E-2</v>
      </c>
    </row>
    <row r="218" spans="1:15" x14ac:dyDescent="0.25">
      <c r="A218" s="2" t="s">
        <v>311</v>
      </c>
      <c r="B218" s="2" t="s">
        <v>312</v>
      </c>
      <c r="C218" s="3">
        <v>44151</v>
      </c>
      <c r="D218" s="12">
        <v>0.16650000000000001</v>
      </c>
      <c r="E218" s="5">
        <v>44152</v>
      </c>
      <c r="F218" s="4">
        <v>16.95</v>
      </c>
      <c r="G218" s="5">
        <v>44179</v>
      </c>
      <c r="H218" s="1">
        <v>76.05</v>
      </c>
      <c r="I218" s="12">
        <f t="shared" si="18"/>
        <v>3.4867256637168138</v>
      </c>
      <c r="J218" s="1">
        <f t="shared" si="19"/>
        <v>27</v>
      </c>
      <c r="K218" s="13">
        <f t="shared" si="20"/>
        <v>0.12913798754506717</v>
      </c>
      <c r="L218" s="4">
        <f t="shared" si="21"/>
        <v>25.424999999999997</v>
      </c>
      <c r="M218" s="3">
        <v>44159</v>
      </c>
      <c r="N218" s="1">
        <f t="shared" si="22"/>
        <v>8</v>
      </c>
      <c r="O218" s="13">
        <f t="shared" si="23"/>
        <v>6.25E-2</v>
      </c>
    </row>
    <row r="219" spans="1:15" x14ac:dyDescent="0.25">
      <c r="A219" s="2" t="s">
        <v>238</v>
      </c>
      <c r="B219" s="2" t="s">
        <v>239</v>
      </c>
      <c r="C219" s="3">
        <v>44152</v>
      </c>
      <c r="D219" s="12">
        <v>0.1925</v>
      </c>
      <c r="E219" s="5">
        <v>44153</v>
      </c>
      <c r="F219" s="4">
        <v>0.41360000000000002</v>
      </c>
      <c r="G219" s="5">
        <v>44249</v>
      </c>
      <c r="H219" s="1">
        <v>4.9119999999999999</v>
      </c>
      <c r="I219" s="12">
        <f t="shared" si="18"/>
        <v>10.876208897485492</v>
      </c>
      <c r="J219" s="1">
        <f t="shared" si="19"/>
        <v>96</v>
      </c>
      <c r="K219" s="13">
        <f t="shared" si="20"/>
        <v>0.11329384268214054</v>
      </c>
      <c r="L219" s="4">
        <f t="shared" si="21"/>
        <v>0.62040000000000006</v>
      </c>
      <c r="M219" s="3">
        <v>44158</v>
      </c>
      <c r="N219" s="1">
        <f t="shared" si="22"/>
        <v>6</v>
      </c>
      <c r="O219" s="13">
        <f t="shared" si="23"/>
        <v>8.3333333333333329E-2</v>
      </c>
    </row>
    <row r="220" spans="1:15" x14ac:dyDescent="0.25">
      <c r="A220" s="2" t="s">
        <v>513</v>
      </c>
      <c r="B220" s="2" t="s">
        <v>512</v>
      </c>
      <c r="C220" s="3">
        <v>44152</v>
      </c>
      <c r="D220" s="12">
        <v>0.1208</v>
      </c>
      <c r="E220" s="5">
        <v>44153</v>
      </c>
      <c r="F220" s="4">
        <v>5.63</v>
      </c>
      <c r="G220" s="5">
        <v>44701</v>
      </c>
      <c r="H220" s="1">
        <v>63.1</v>
      </c>
      <c r="I220" s="12">
        <f t="shared" si="18"/>
        <v>10.207815275310836</v>
      </c>
      <c r="J220" s="1">
        <f t="shared" si="19"/>
        <v>548</v>
      </c>
      <c r="K220" s="13">
        <f t="shared" si="20"/>
        <v>1.8627400137428533E-2</v>
      </c>
      <c r="L220" s="4">
        <f t="shared" si="21"/>
        <v>8.4450000000000003</v>
      </c>
      <c r="M220" s="3">
        <v>44173</v>
      </c>
      <c r="N220" s="1">
        <f t="shared" si="22"/>
        <v>21</v>
      </c>
      <c r="O220" s="13">
        <f t="shared" si="23"/>
        <v>2.3809523809523808E-2</v>
      </c>
    </row>
    <row r="221" spans="1:15" x14ac:dyDescent="0.25">
      <c r="A221" s="2" t="s">
        <v>381</v>
      </c>
      <c r="B221" s="2" t="s">
        <v>382</v>
      </c>
      <c r="C221" s="3">
        <v>44152</v>
      </c>
      <c r="D221" s="12">
        <v>0.48409999999999997</v>
      </c>
      <c r="E221" s="5">
        <v>44153</v>
      </c>
      <c r="F221" s="4">
        <v>6.39</v>
      </c>
      <c r="G221" s="5">
        <v>44244</v>
      </c>
      <c r="H221" s="1">
        <v>79.5</v>
      </c>
      <c r="I221" s="12">
        <f t="shared" si="18"/>
        <v>11.441314553990612</v>
      </c>
      <c r="J221" s="1">
        <f t="shared" si="19"/>
        <v>91</v>
      </c>
      <c r="K221" s="13">
        <f t="shared" si="20"/>
        <v>0.12572873136253421</v>
      </c>
      <c r="L221" s="4">
        <f t="shared" si="21"/>
        <v>9.5849999999999991</v>
      </c>
      <c r="M221" s="3">
        <v>44168</v>
      </c>
      <c r="N221" s="1">
        <f t="shared" si="22"/>
        <v>16</v>
      </c>
      <c r="O221" s="13">
        <f t="shared" si="23"/>
        <v>3.125E-2</v>
      </c>
    </row>
    <row r="222" spans="1:15" x14ac:dyDescent="0.25">
      <c r="A222" s="2" t="s">
        <v>398</v>
      </c>
      <c r="B222" s="2" t="s">
        <v>399</v>
      </c>
      <c r="C222" s="3">
        <v>44152</v>
      </c>
      <c r="D222" s="12">
        <v>1.0699999999999999E-2</v>
      </c>
      <c r="E222" s="5">
        <v>44153</v>
      </c>
      <c r="F222" s="4">
        <v>18.899999999999999</v>
      </c>
      <c r="G222" s="5">
        <v>44231</v>
      </c>
      <c r="H222" s="1">
        <v>32.1</v>
      </c>
      <c r="I222" s="12">
        <f t="shared" si="18"/>
        <v>0.6984126984126986</v>
      </c>
      <c r="J222" s="1">
        <f t="shared" si="19"/>
        <v>78</v>
      </c>
      <c r="K222" s="13">
        <f t="shared" si="20"/>
        <v>8.9540089540089563E-3</v>
      </c>
      <c r="L222" s="4">
        <f t="shared" si="21"/>
        <v>28.349999999999998</v>
      </c>
      <c r="M222" s="3">
        <v>44200</v>
      </c>
      <c r="N222" s="1">
        <f t="shared" si="22"/>
        <v>48</v>
      </c>
      <c r="O222" s="13">
        <f t="shared" si="23"/>
        <v>1.0416666666666666E-2</v>
      </c>
    </row>
    <row r="223" spans="1:15" x14ac:dyDescent="0.25">
      <c r="A223" s="2" t="s">
        <v>259</v>
      </c>
      <c r="B223" s="2" t="s">
        <v>260</v>
      </c>
      <c r="C223" s="3">
        <v>44153</v>
      </c>
      <c r="D223" s="12">
        <v>0.18870000000000001</v>
      </c>
      <c r="E223" s="5">
        <v>44154</v>
      </c>
      <c r="F223" s="4">
        <v>20.260000000000002</v>
      </c>
      <c r="G223" s="5">
        <v>44237</v>
      </c>
      <c r="H223" s="1">
        <v>69.89</v>
      </c>
      <c r="I223" s="12">
        <f t="shared" si="18"/>
        <v>2.4496544916090817</v>
      </c>
      <c r="J223" s="1">
        <f t="shared" si="19"/>
        <v>83</v>
      </c>
      <c r="K223" s="13">
        <f t="shared" si="20"/>
        <v>2.9513909537458815E-2</v>
      </c>
      <c r="L223" s="4">
        <f t="shared" si="21"/>
        <v>30.39</v>
      </c>
      <c r="M223" s="3">
        <v>44158</v>
      </c>
      <c r="N223" s="1">
        <f t="shared" si="22"/>
        <v>5</v>
      </c>
      <c r="O223" s="13">
        <f t="shared" si="23"/>
        <v>0.1</v>
      </c>
    </row>
    <row r="224" spans="1:15" x14ac:dyDescent="0.25">
      <c r="A224" s="2" t="s">
        <v>58</v>
      </c>
      <c r="B224" s="2" t="s">
        <v>59</v>
      </c>
      <c r="C224" s="3">
        <v>44154</v>
      </c>
      <c r="D224" s="12">
        <v>4.4900000000000002E-2</v>
      </c>
      <c r="E224" s="5">
        <v>44155</v>
      </c>
      <c r="F224" s="4">
        <v>39.409999999999997</v>
      </c>
      <c r="G224" s="5">
        <v>44235</v>
      </c>
      <c r="H224" s="1">
        <v>126.9</v>
      </c>
      <c r="I224" s="12">
        <f t="shared" si="18"/>
        <v>2.2199949251459024</v>
      </c>
      <c r="J224" s="1">
        <f t="shared" si="19"/>
        <v>80</v>
      </c>
      <c r="K224" s="13">
        <f t="shared" si="20"/>
        <v>2.7749936564323778E-2</v>
      </c>
      <c r="L224" s="4">
        <f t="shared" si="21"/>
        <v>59.114999999999995</v>
      </c>
      <c r="M224" s="3">
        <v>44169</v>
      </c>
      <c r="N224" s="1">
        <f t="shared" si="22"/>
        <v>15</v>
      </c>
      <c r="O224" s="13">
        <f t="shared" si="23"/>
        <v>3.3333333333333333E-2</v>
      </c>
    </row>
    <row r="225" spans="1:15" x14ac:dyDescent="0.25">
      <c r="A225" s="2" t="s">
        <v>538</v>
      </c>
      <c r="B225" s="2" t="s">
        <v>68</v>
      </c>
      <c r="C225" s="3">
        <v>44154</v>
      </c>
      <c r="D225" s="12">
        <v>0.22170000000000001</v>
      </c>
      <c r="E225" s="5">
        <v>44155</v>
      </c>
      <c r="F225" s="4">
        <v>59.34</v>
      </c>
      <c r="G225" s="5">
        <v>44237</v>
      </c>
      <c r="H225" s="1">
        <v>157.4</v>
      </c>
      <c r="I225" s="12">
        <f t="shared" si="18"/>
        <v>1.6525109538254128</v>
      </c>
      <c r="J225" s="1">
        <f t="shared" si="19"/>
        <v>82</v>
      </c>
      <c r="K225" s="13">
        <f t="shared" si="20"/>
        <v>2.0152572607626984E-2</v>
      </c>
      <c r="L225" s="4">
        <f t="shared" si="21"/>
        <v>89.01</v>
      </c>
      <c r="M225" s="3">
        <v>44187</v>
      </c>
      <c r="N225" s="1">
        <f t="shared" si="22"/>
        <v>33</v>
      </c>
      <c r="O225" s="13">
        <f t="shared" si="23"/>
        <v>1.5151515151515152E-2</v>
      </c>
    </row>
    <row r="226" spans="1:15" x14ac:dyDescent="0.25">
      <c r="A226" s="2" t="s">
        <v>180</v>
      </c>
      <c r="B226" s="2" t="s">
        <v>181</v>
      </c>
      <c r="C226" s="3">
        <v>44158</v>
      </c>
      <c r="D226" s="12">
        <v>0.29930000000000001</v>
      </c>
      <c r="E226" s="5">
        <v>44159</v>
      </c>
      <c r="F226" s="4">
        <v>19.100000000000001</v>
      </c>
      <c r="G226" s="5">
        <v>44238</v>
      </c>
      <c r="H226" s="1">
        <v>111</v>
      </c>
      <c r="I226" s="12">
        <f t="shared" si="18"/>
        <v>4.811518324607329</v>
      </c>
      <c r="J226" s="1">
        <f t="shared" si="19"/>
        <v>79</v>
      </c>
      <c r="K226" s="13">
        <f t="shared" si="20"/>
        <v>6.090529524819404E-2</v>
      </c>
      <c r="L226" s="4">
        <f t="shared" si="21"/>
        <v>28.650000000000002</v>
      </c>
      <c r="M226" s="3">
        <v>44172</v>
      </c>
      <c r="N226" s="1">
        <f t="shared" si="22"/>
        <v>14</v>
      </c>
      <c r="O226" s="13">
        <f t="shared" si="23"/>
        <v>3.5714285714285712E-2</v>
      </c>
    </row>
    <row r="227" spans="1:15" x14ac:dyDescent="0.25">
      <c r="A227" s="2" t="s">
        <v>313</v>
      </c>
      <c r="B227" s="2" t="s">
        <v>314</v>
      </c>
      <c r="C227" s="3">
        <v>44158</v>
      </c>
      <c r="D227" s="12">
        <v>2.4299999999999999E-2</v>
      </c>
      <c r="E227" s="5">
        <v>44159</v>
      </c>
      <c r="F227" s="4">
        <v>30.28</v>
      </c>
      <c r="G227" s="5">
        <v>44505</v>
      </c>
      <c r="H227" s="1">
        <v>67.12</v>
      </c>
      <c r="I227" s="12">
        <f t="shared" si="18"/>
        <v>1.2166446499339498</v>
      </c>
      <c r="J227" s="1">
        <f t="shared" si="19"/>
        <v>346</v>
      </c>
      <c r="K227" s="13">
        <f t="shared" si="20"/>
        <v>3.5163140171501441E-3</v>
      </c>
      <c r="L227" s="4">
        <f t="shared" si="21"/>
        <v>45.42</v>
      </c>
      <c r="M227" s="3">
        <v>44264</v>
      </c>
      <c r="N227" s="1">
        <f t="shared" si="22"/>
        <v>106</v>
      </c>
      <c r="O227" s="13">
        <f t="shared" si="23"/>
        <v>4.7169811320754715E-3</v>
      </c>
    </row>
    <row r="228" spans="1:15" x14ac:dyDescent="0.25">
      <c r="A228" s="2" t="s">
        <v>522</v>
      </c>
      <c r="B228" s="2" t="s">
        <v>501</v>
      </c>
      <c r="C228" s="3">
        <v>44159</v>
      </c>
      <c r="D228" s="12">
        <v>2.1100000000000001E-2</v>
      </c>
      <c r="E228" s="5">
        <v>44160</v>
      </c>
      <c r="F228" s="4">
        <v>14.47</v>
      </c>
      <c r="G228" s="5">
        <v>44223</v>
      </c>
      <c r="H228" s="1">
        <v>26.19</v>
      </c>
      <c r="I228" s="12">
        <f t="shared" si="18"/>
        <v>0.80995162404975818</v>
      </c>
      <c r="J228" s="1">
        <f t="shared" si="19"/>
        <v>63</v>
      </c>
      <c r="K228" s="13">
        <f t="shared" si="20"/>
        <v>1.2856374984916796E-2</v>
      </c>
      <c r="L228" s="4">
        <f t="shared" si="21"/>
        <v>21.705000000000002</v>
      </c>
      <c r="M228" s="3">
        <v>44208</v>
      </c>
      <c r="N228" s="1">
        <f t="shared" si="22"/>
        <v>49</v>
      </c>
      <c r="O228" s="13">
        <f t="shared" si="23"/>
        <v>1.020408163265306E-2</v>
      </c>
    </row>
    <row r="229" spans="1:15" x14ac:dyDescent="0.25">
      <c r="A229" s="2" t="s">
        <v>184</v>
      </c>
      <c r="B229" s="2" t="s">
        <v>185</v>
      </c>
      <c r="C229" s="3">
        <v>44165</v>
      </c>
      <c r="D229" s="12">
        <v>1.5100000000000001E-2</v>
      </c>
      <c r="E229" s="5">
        <v>44166</v>
      </c>
      <c r="F229" s="4">
        <v>170.3</v>
      </c>
      <c r="G229" s="5">
        <v>44328</v>
      </c>
      <c r="H229" s="1">
        <v>446.1</v>
      </c>
      <c r="I229" s="12">
        <f t="shared" si="18"/>
        <v>1.619495008807986</v>
      </c>
      <c r="J229" s="1">
        <f t="shared" si="19"/>
        <v>162</v>
      </c>
      <c r="K229" s="13">
        <f t="shared" si="20"/>
        <v>9.9968827704196676E-3</v>
      </c>
      <c r="L229" s="4">
        <f t="shared" si="21"/>
        <v>255.45000000000002</v>
      </c>
      <c r="M229" s="3">
        <v>44202</v>
      </c>
      <c r="N229" s="1">
        <f t="shared" si="22"/>
        <v>37</v>
      </c>
      <c r="O229" s="13">
        <f t="shared" si="23"/>
        <v>1.3513513513513514E-2</v>
      </c>
    </row>
    <row r="230" spans="1:15" x14ac:dyDescent="0.25">
      <c r="A230" s="2" t="s">
        <v>445</v>
      </c>
      <c r="B230" s="2" t="s">
        <v>366</v>
      </c>
      <c r="C230" s="3">
        <v>44166</v>
      </c>
      <c r="D230" s="12">
        <v>7.1999999999999995E-2</v>
      </c>
      <c r="E230" s="5">
        <v>44167</v>
      </c>
      <c r="F230" s="4">
        <v>14.52</v>
      </c>
      <c r="G230" s="5">
        <v>44515</v>
      </c>
      <c r="H230" s="1">
        <v>50.6</v>
      </c>
      <c r="I230" s="12">
        <f t="shared" si="18"/>
        <v>2.4848484848484849</v>
      </c>
      <c r="J230" s="1">
        <f t="shared" si="19"/>
        <v>348</v>
      </c>
      <c r="K230" s="13">
        <f t="shared" si="20"/>
        <v>7.1403692093347263E-3</v>
      </c>
      <c r="L230" s="4">
        <f t="shared" si="21"/>
        <v>21.78</v>
      </c>
      <c r="M230" s="3">
        <v>44222</v>
      </c>
      <c r="N230" s="1">
        <f t="shared" si="22"/>
        <v>56</v>
      </c>
      <c r="O230" s="13">
        <f t="shared" si="23"/>
        <v>8.9285714285714281E-3</v>
      </c>
    </row>
    <row r="231" spans="1:15" x14ac:dyDescent="0.25">
      <c r="A231" s="2" t="s">
        <v>165</v>
      </c>
      <c r="B231" s="2" t="s">
        <v>166</v>
      </c>
      <c r="C231" s="3">
        <v>44167</v>
      </c>
      <c r="D231" s="12">
        <v>6.4799999999999996E-2</v>
      </c>
      <c r="E231" s="5">
        <v>44168</v>
      </c>
      <c r="F231" s="4">
        <v>26.9</v>
      </c>
      <c r="G231" s="5">
        <v>44379</v>
      </c>
      <c r="H231" s="1">
        <v>88.66</v>
      </c>
      <c r="I231" s="12">
        <f t="shared" si="18"/>
        <v>2.295910780669145</v>
      </c>
      <c r="J231" s="1">
        <f t="shared" si="19"/>
        <v>211</v>
      </c>
      <c r="K231" s="13">
        <f t="shared" si="20"/>
        <v>1.0881093747247132E-2</v>
      </c>
      <c r="L231" s="4">
        <f t="shared" si="21"/>
        <v>40.349999999999994</v>
      </c>
      <c r="M231" s="3">
        <v>44208</v>
      </c>
      <c r="N231" s="1">
        <f t="shared" si="22"/>
        <v>41</v>
      </c>
      <c r="O231" s="13">
        <f t="shared" si="23"/>
        <v>1.2195121951219513E-2</v>
      </c>
    </row>
    <row r="232" spans="1:15" x14ac:dyDescent="0.25">
      <c r="A232" s="2" t="s">
        <v>137</v>
      </c>
      <c r="B232" s="2" t="s">
        <v>138</v>
      </c>
      <c r="C232" s="3">
        <v>44169</v>
      </c>
      <c r="D232" s="12">
        <v>0.2424</v>
      </c>
      <c r="E232" s="5">
        <v>44172</v>
      </c>
      <c r="F232" s="4">
        <v>4.0650000000000004</v>
      </c>
      <c r="G232" s="5">
        <v>44574</v>
      </c>
      <c r="H232" s="1">
        <v>11.19</v>
      </c>
      <c r="I232" s="12">
        <f t="shared" si="18"/>
        <v>1.7527675276752763</v>
      </c>
      <c r="J232" s="1">
        <f t="shared" si="19"/>
        <v>402</v>
      </c>
      <c r="K232" s="13">
        <f t="shared" si="20"/>
        <v>4.3601182280479508E-3</v>
      </c>
      <c r="L232" s="4">
        <f t="shared" si="21"/>
        <v>6.0975000000000001</v>
      </c>
      <c r="M232" s="3">
        <v>44203</v>
      </c>
      <c r="N232" s="1">
        <f t="shared" si="22"/>
        <v>32</v>
      </c>
      <c r="O232" s="13">
        <f t="shared" si="23"/>
        <v>1.5625E-2</v>
      </c>
    </row>
    <row r="233" spans="1:15" x14ac:dyDescent="0.25">
      <c r="A233" s="2" t="s">
        <v>356</v>
      </c>
      <c r="B233" s="2" t="s">
        <v>357</v>
      </c>
      <c r="C233" s="3">
        <v>44169</v>
      </c>
      <c r="D233" s="12">
        <v>0.15790000000000001</v>
      </c>
      <c r="E233" s="5">
        <v>44174</v>
      </c>
      <c r="F233" s="4">
        <v>2.25</v>
      </c>
      <c r="G233" s="5">
        <v>44195</v>
      </c>
      <c r="H233" s="1">
        <v>16</v>
      </c>
      <c r="I233" s="12">
        <f t="shared" si="18"/>
        <v>6.1111111111111107</v>
      </c>
      <c r="J233" s="1">
        <f t="shared" si="19"/>
        <v>21</v>
      </c>
      <c r="K233" s="13">
        <f t="shared" si="20"/>
        <v>0.29100529100529099</v>
      </c>
      <c r="L233" s="4">
        <f t="shared" si="21"/>
        <v>3.375</v>
      </c>
      <c r="M233" s="3">
        <v>44182</v>
      </c>
      <c r="N233" s="1">
        <f t="shared" si="22"/>
        <v>9</v>
      </c>
      <c r="O233" s="13">
        <f t="shared" si="23"/>
        <v>5.5555555555555552E-2</v>
      </c>
    </row>
    <row r="234" spans="1:15" x14ac:dyDescent="0.25">
      <c r="A234" s="2" t="s">
        <v>113</v>
      </c>
      <c r="B234" s="2" t="s">
        <v>114</v>
      </c>
      <c r="C234" s="3">
        <v>44172</v>
      </c>
      <c r="D234" s="12">
        <v>0.25409999999999999</v>
      </c>
      <c r="E234" s="5">
        <v>44173</v>
      </c>
      <c r="F234" s="4" t="s">
        <v>534</v>
      </c>
      <c r="G234" s="5">
        <v>44244</v>
      </c>
      <c r="H234" s="1">
        <v>11.57</v>
      </c>
      <c r="I234" s="12" t="e">
        <f t="shared" si="18"/>
        <v>#VALUE!</v>
      </c>
      <c r="J234" s="1">
        <f t="shared" si="19"/>
        <v>71</v>
      </c>
      <c r="K234" s="13" t="e">
        <f t="shared" si="20"/>
        <v>#VALUE!</v>
      </c>
      <c r="L234" s="4" t="e">
        <f t="shared" si="21"/>
        <v>#VALUE!</v>
      </c>
      <c r="M234" s="3">
        <v>44204</v>
      </c>
      <c r="N234" s="1">
        <f t="shared" si="22"/>
        <v>32</v>
      </c>
      <c r="O234" s="13">
        <f t="shared" si="23"/>
        <v>1.5625E-2</v>
      </c>
    </row>
    <row r="235" spans="1:15" x14ac:dyDescent="0.25">
      <c r="A235" s="2" t="s">
        <v>344</v>
      </c>
      <c r="B235" s="2" t="s">
        <v>345</v>
      </c>
      <c r="C235" s="3">
        <v>44172</v>
      </c>
      <c r="D235" s="12">
        <v>9.2600000000000002E-2</v>
      </c>
      <c r="E235" s="5">
        <v>44183</v>
      </c>
      <c r="F235" s="4">
        <v>5.84</v>
      </c>
      <c r="G235" s="5">
        <v>44295</v>
      </c>
      <c r="H235" s="1">
        <v>24.34</v>
      </c>
      <c r="I235" s="12">
        <f t="shared" si="18"/>
        <v>3.1678082191780819</v>
      </c>
      <c r="J235" s="1">
        <f t="shared" si="19"/>
        <v>112</v>
      </c>
      <c r="K235" s="13">
        <f t="shared" si="20"/>
        <v>2.828400195694716E-2</v>
      </c>
      <c r="L235" s="4">
        <f t="shared" si="21"/>
        <v>8.76</v>
      </c>
      <c r="M235" s="3">
        <v>44210</v>
      </c>
      <c r="N235" s="1">
        <f t="shared" si="22"/>
        <v>28</v>
      </c>
      <c r="O235" s="13">
        <f t="shared" si="23"/>
        <v>1.7857142857142856E-2</v>
      </c>
    </row>
    <row r="236" spans="1:15" x14ac:dyDescent="0.25">
      <c r="A236" s="2" t="s">
        <v>354</v>
      </c>
      <c r="B236" s="2" t="s">
        <v>355</v>
      </c>
      <c r="C236" s="3">
        <v>44172</v>
      </c>
      <c r="D236" s="12">
        <v>0.16689999999999999</v>
      </c>
      <c r="E236" s="5">
        <v>44173</v>
      </c>
      <c r="F236" s="4">
        <v>9</v>
      </c>
      <c r="G236" s="5">
        <v>44237</v>
      </c>
      <c r="H236" s="1">
        <v>26.07</v>
      </c>
      <c r="I236" s="12">
        <f t="shared" si="18"/>
        <v>1.8966666666666665</v>
      </c>
      <c r="J236" s="1">
        <f t="shared" si="19"/>
        <v>64</v>
      </c>
      <c r="K236" s="13">
        <f t="shared" si="20"/>
        <v>2.9635416666666664E-2</v>
      </c>
      <c r="L236" s="4">
        <f t="shared" si="21"/>
        <v>13.5</v>
      </c>
      <c r="M236" s="3">
        <v>44176</v>
      </c>
      <c r="N236" s="1">
        <f t="shared" si="22"/>
        <v>4</v>
      </c>
      <c r="O236" s="13">
        <f t="shared" si="23"/>
        <v>0.125</v>
      </c>
    </row>
    <row r="237" spans="1:15" x14ac:dyDescent="0.25">
      <c r="A237" s="2" t="s">
        <v>305</v>
      </c>
      <c r="B237" s="2" t="s">
        <v>306</v>
      </c>
      <c r="C237" s="3">
        <v>44172</v>
      </c>
      <c r="D237" s="12">
        <v>0.1229</v>
      </c>
      <c r="E237" s="5">
        <v>44173</v>
      </c>
      <c r="F237" s="4">
        <v>1.7549999999999999</v>
      </c>
      <c r="G237" s="5">
        <v>44390</v>
      </c>
      <c r="H237" s="1">
        <v>6.52</v>
      </c>
      <c r="I237" s="12">
        <f t="shared" si="18"/>
        <v>2.7150997150997149</v>
      </c>
      <c r="J237" s="1">
        <f t="shared" si="19"/>
        <v>217</v>
      </c>
      <c r="K237" s="13">
        <f t="shared" si="20"/>
        <v>1.2511980253915736E-2</v>
      </c>
      <c r="L237" s="4">
        <f t="shared" si="21"/>
        <v>2.6324999999999998</v>
      </c>
      <c r="M237" s="3">
        <v>44214</v>
      </c>
      <c r="N237" s="1">
        <f t="shared" si="22"/>
        <v>42</v>
      </c>
      <c r="O237" s="13">
        <f t="shared" si="23"/>
        <v>1.1904761904761904E-2</v>
      </c>
    </row>
    <row r="238" spans="1:15" x14ac:dyDescent="0.25">
      <c r="A238" s="2" t="s">
        <v>283</v>
      </c>
      <c r="B238" s="2" t="s">
        <v>284</v>
      </c>
      <c r="C238" s="3">
        <v>44173</v>
      </c>
      <c r="D238" s="12">
        <v>0.78029999999999999</v>
      </c>
      <c r="E238" s="5">
        <v>44174</v>
      </c>
      <c r="F238" s="4">
        <v>2.96</v>
      </c>
      <c r="G238" s="5">
        <v>44210</v>
      </c>
      <c r="H238" s="1">
        <v>9.4</v>
      </c>
      <c r="I238" s="12">
        <f t="shared" si="18"/>
        <v>2.1756756756756759</v>
      </c>
      <c r="J238" s="1">
        <f t="shared" si="19"/>
        <v>36</v>
      </c>
      <c r="K238" s="13">
        <f t="shared" si="20"/>
        <v>6.043543543543544E-2</v>
      </c>
      <c r="L238" s="4">
        <f t="shared" si="21"/>
        <v>4.4399999999999995</v>
      </c>
      <c r="M238" s="3">
        <v>44210</v>
      </c>
      <c r="N238" s="1">
        <f t="shared" si="22"/>
        <v>37</v>
      </c>
      <c r="O238" s="13">
        <f t="shared" si="23"/>
        <v>1.3513513513513514E-2</v>
      </c>
    </row>
    <row r="239" spans="1:15" x14ac:dyDescent="0.25">
      <c r="A239" s="2" t="s">
        <v>50</v>
      </c>
      <c r="B239" s="2" t="s">
        <v>51</v>
      </c>
      <c r="C239" s="3">
        <v>44174</v>
      </c>
      <c r="D239" s="12">
        <v>4.5499999999999999E-2</v>
      </c>
      <c r="E239" s="5">
        <v>44175</v>
      </c>
      <c r="F239" s="4">
        <v>154.12</v>
      </c>
      <c r="G239" s="5">
        <v>44249</v>
      </c>
      <c r="H239" s="1">
        <v>354.82</v>
      </c>
      <c r="I239" s="12">
        <f t="shared" si="18"/>
        <v>1.3022320269919541</v>
      </c>
      <c r="J239" s="1">
        <f t="shared" si="19"/>
        <v>74</v>
      </c>
      <c r="K239" s="13">
        <f t="shared" si="20"/>
        <v>1.7597730094485866E-2</v>
      </c>
      <c r="L239" s="4">
        <f t="shared" si="21"/>
        <v>231.18</v>
      </c>
      <c r="M239" s="3">
        <v>44204</v>
      </c>
      <c r="N239" s="1">
        <f t="shared" si="22"/>
        <v>30</v>
      </c>
      <c r="O239" s="13">
        <f t="shared" si="23"/>
        <v>1.6666666666666666E-2</v>
      </c>
    </row>
    <row r="240" spans="1:15" x14ac:dyDescent="0.25">
      <c r="A240" s="2" t="s">
        <v>52</v>
      </c>
      <c r="B240" s="2" t="s">
        <v>53</v>
      </c>
      <c r="C240" s="3">
        <v>44174</v>
      </c>
      <c r="D240" s="12">
        <v>6.6000000000000003E-2</v>
      </c>
      <c r="E240" s="5">
        <v>44175</v>
      </c>
      <c r="F240" s="4">
        <v>4.01</v>
      </c>
      <c r="G240" s="5">
        <v>44477</v>
      </c>
      <c r="H240" s="1">
        <v>12.01</v>
      </c>
      <c r="I240" s="12">
        <f t="shared" si="18"/>
        <v>1.9950124688279303</v>
      </c>
      <c r="J240" s="1">
        <f t="shared" si="19"/>
        <v>302</v>
      </c>
      <c r="K240" s="13">
        <f t="shared" si="20"/>
        <v>6.6060015524103651E-3</v>
      </c>
      <c r="L240" s="4">
        <f t="shared" si="21"/>
        <v>6.0149999999999997</v>
      </c>
      <c r="M240" s="3">
        <v>44223</v>
      </c>
      <c r="N240" s="1">
        <f t="shared" si="22"/>
        <v>49</v>
      </c>
      <c r="O240" s="13">
        <f t="shared" si="23"/>
        <v>1.020408163265306E-2</v>
      </c>
    </row>
    <row r="241" spans="1:15" x14ac:dyDescent="0.25">
      <c r="A241" s="2" t="s">
        <v>169</v>
      </c>
      <c r="B241" s="2" t="s">
        <v>170</v>
      </c>
      <c r="C241" s="3">
        <v>44174</v>
      </c>
      <c r="D241" s="12">
        <v>0.2233</v>
      </c>
      <c r="E241" s="5">
        <v>44175</v>
      </c>
      <c r="F241" s="4">
        <v>126.58</v>
      </c>
      <c r="G241" s="5">
        <v>44224</v>
      </c>
      <c r="H241" s="1">
        <v>398.57</v>
      </c>
      <c r="I241" s="12">
        <f t="shared" si="18"/>
        <v>2.1487596776741982</v>
      </c>
      <c r="J241" s="1">
        <f t="shared" si="19"/>
        <v>49</v>
      </c>
      <c r="K241" s="13">
        <f t="shared" si="20"/>
        <v>4.3852238319881595E-2</v>
      </c>
      <c r="L241" s="4">
        <f t="shared" si="21"/>
        <v>189.87</v>
      </c>
      <c r="M241" s="3">
        <v>44179</v>
      </c>
      <c r="N241" s="1">
        <f t="shared" si="22"/>
        <v>5</v>
      </c>
      <c r="O241" s="13">
        <f t="shared" si="23"/>
        <v>0.1</v>
      </c>
    </row>
    <row r="242" spans="1:15" x14ac:dyDescent="0.25">
      <c r="A242" s="6" t="s">
        <v>10</v>
      </c>
      <c r="B242" s="6" t="s">
        <v>11</v>
      </c>
      <c r="C242" s="7">
        <v>44175</v>
      </c>
      <c r="D242" s="12">
        <v>0.25740000000000002</v>
      </c>
      <c r="E242" s="5">
        <v>44176</v>
      </c>
      <c r="F242" s="4">
        <v>6.1</v>
      </c>
      <c r="G242" s="5">
        <v>44244</v>
      </c>
      <c r="H242" s="1">
        <v>21.6</v>
      </c>
      <c r="I242" s="12">
        <f t="shared" si="18"/>
        <v>2.5409836065573774</v>
      </c>
      <c r="J242" s="1">
        <f t="shared" si="19"/>
        <v>68</v>
      </c>
      <c r="K242" s="13">
        <f t="shared" si="20"/>
        <v>3.7367405978784962E-2</v>
      </c>
      <c r="L242" s="4">
        <f t="shared" si="21"/>
        <v>9.1499999999999986</v>
      </c>
      <c r="M242" s="3">
        <v>44186</v>
      </c>
      <c r="N242" s="1">
        <f t="shared" si="22"/>
        <v>11</v>
      </c>
      <c r="O242" s="13">
        <f t="shared" si="23"/>
        <v>4.5454545454545456E-2</v>
      </c>
    </row>
    <row r="243" spans="1:15" x14ac:dyDescent="0.25">
      <c r="A243" s="2" t="s">
        <v>519</v>
      </c>
      <c r="B243" s="2" t="s">
        <v>496</v>
      </c>
      <c r="C243" s="3">
        <v>44175</v>
      </c>
      <c r="D243" s="12">
        <v>6.0600000000000001E-2</v>
      </c>
      <c r="E243" s="5">
        <v>44176</v>
      </c>
      <c r="F243" s="4">
        <v>148.72999999999999</v>
      </c>
      <c r="G243" s="5">
        <v>44246</v>
      </c>
      <c r="H243" s="1">
        <v>266</v>
      </c>
      <c r="I243" s="12">
        <f t="shared" si="18"/>
        <v>0.78847576144691733</v>
      </c>
      <c r="J243" s="1">
        <f t="shared" si="19"/>
        <v>70</v>
      </c>
      <c r="K243" s="13">
        <f t="shared" si="20"/>
        <v>1.1263939449241676E-2</v>
      </c>
      <c r="L243" s="4">
        <f t="shared" si="21"/>
        <v>223.09499999999997</v>
      </c>
      <c r="M243" s="3">
        <v>44229</v>
      </c>
      <c r="N243" s="1">
        <f t="shared" si="22"/>
        <v>54</v>
      </c>
      <c r="O243" s="13">
        <f t="shared" si="23"/>
        <v>9.2592592592592587E-3</v>
      </c>
    </row>
    <row r="244" spans="1:15" x14ac:dyDescent="0.25">
      <c r="A244" s="2" t="s">
        <v>469</v>
      </c>
      <c r="B244" s="2" t="s">
        <v>470</v>
      </c>
      <c r="C244" s="3">
        <v>44175</v>
      </c>
      <c r="D244" s="12">
        <v>3.1800000000000002E-2</v>
      </c>
      <c r="E244" s="5">
        <v>44176</v>
      </c>
      <c r="F244" s="4">
        <v>53.87</v>
      </c>
      <c r="G244" s="5">
        <v>44312</v>
      </c>
      <c r="H244" s="1">
        <v>117.99</v>
      </c>
      <c r="I244" s="12">
        <f t="shared" si="18"/>
        <v>1.1902728791535178</v>
      </c>
      <c r="J244" s="1">
        <f t="shared" si="19"/>
        <v>136</v>
      </c>
      <c r="K244" s="13">
        <f t="shared" si="20"/>
        <v>8.7520064643641007E-3</v>
      </c>
      <c r="L244" s="4">
        <f t="shared" si="21"/>
        <v>80.804999999999993</v>
      </c>
      <c r="M244" s="3">
        <v>44246</v>
      </c>
      <c r="N244" s="1">
        <f t="shared" si="22"/>
        <v>71</v>
      </c>
      <c r="O244" s="13">
        <f t="shared" si="23"/>
        <v>7.0422535211267607E-3</v>
      </c>
    </row>
    <row r="245" spans="1:15" x14ac:dyDescent="0.25">
      <c r="A245" s="2" t="s">
        <v>494</v>
      </c>
      <c r="B245" s="2" t="s">
        <v>493</v>
      </c>
      <c r="C245" s="3">
        <v>44176</v>
      </c>
      <c r="D245" s="12">
        <v>4.1399999999999999E-2</v>
      </c>
      <c r="E245" s="5">
        <v>44179</v>
      </c>
      <c r="F245" s="4">
        <v>11.4</v>
      </c>
      <c r="G245" s="5">
        <v>44235</v>
      </c>
      <c r="H245" s="1">
        <v>47.08</v>
      </c>
      <c r="I245" s="12">
        <f t="shared" si="18"/>
        <v>3.1298245614035087</v>
      </c>
      <c r="J245" s="1">
        <f t="shared" si="19"/>
        <v>56</v>
      </c>
      <c r="K245" s="13">
        <f t="shared" si="20"/>
        <v>5.5889724310776941E-2</v>
      </c>
      <c r="L245" s="4">
        <f t="shared" si="21"/>
        <v>17.100000000000001</v>
      </c>
      <c r="M245" s="3">
        <v>44200</v>
      </c>
      <c r="N245" s="1">
        <f t="shared" si="22"/>
        <v>22</v>
      </c>
      <c r="O245" s="13">
        <f t="shared" si="23"/>
        <v>2.2727272727272728E-2</v>
      </c>
    </row>
    <row r="246" spans="1:15" x14ac:dyDescent="0.25">
      <c r="A246" s="2" t="s">
        <v>129</v>
      </c>
      <c r="B246" s="2" t="s">
        <v>130</v>
      </c>
      <c r="C246" s="3">
        <v>44179</v>
      </c>
      <c r="D246" s="12">
        <v>0.1198</v>
      </c>
      <c r="E246" s="5">
        <v>44180</v>
      </c>
      <c r="F246" s="4">
        <v>49.5</v>
      </c>
      <c r="G246" s="5">
        <v>44237</v>
      </c>
      <c r="H246" s="1">
        <v>130.33000000000001</v>
      </c>
      <c r="I246" s="12">
        <f t="shared" si="18"/>
        <v>1.6329292929292931</v>
      </c>
      <c r="J246" s="1">
        <f t="shared" si="19"/>
        <v>57</v>
      </c>
      <c r="K246" s="13">
        <f t="shared" si="20"/>
        <v>2.8647882332092863E-2</v>
      </c>
      <c r="L246" s="4">
        <f t="shared" si="21"/>
        <v>74.25</v>
      </c>
      <c r="M246" s="3">
        <v>44208</v>
      </c>
      <c r="N246" s="1">
        <f t="shared" si="22"/>
        <v>29</v>
      </c>
      <c r="O246" s="13">
        <f t="shared" si="23"/>
        <v>1.7241379310344827E-2</v>
      </c>
    </row>
    <row r="247" spans="1:15" x14ac:dyDescent="0.25">
      <c r="A247" s="2" t="s">
        <v>139</v>
      </c>
      <c r="B247" s="2" t="s">
        <v>140</v>
      </c>
      <c r="C247" s="3">
        <v>44179</v>
      </c>
      <c r="D247" s="12">
        <v>0.21410000000000001</v>
      </c>
      <c r="E247" s="5">
        <v>44180</v>
      </c>
      <c r="F247" s="4">
        <v>13.9</v>
      </c>
      <c r="G247" s="5">
        <v>44249</v>
      </c>
      <c r="H247" s="1">
        <v>84.49</v>
      </c>
      <c r="I247" s="12">
        <f t="shared" si="18"/>
        <v>5.0784172661870501</v>
      </c>
      <c r="J247" s="1">
        <f t="shared" si="19"/>
        <v>69</v>
      </c>
      <c r="K247" s="13">
        <f t="shared" si="20"/>
        <v>7.3600250234594933E-2</v>
      </c>
      <c r="L247" s="4">
        <f t="shared" si="21"/>
        <v>20.85</v>
      </c>
      <c r="M247" s="3">
        <v>44187</v>
      </c>
      <c r="N247" s="1">
        <f t="shared" si="22"/>
        <v>8</v>
      </c>
      <c r="O247" s="13">
        <f t="shared" si="23"/>
        <v>6.25E-2</v>
      </c>
    </row>
    <row r="248" spans="1:15" x14ac:dyDescent="0.25">
      <c r="A248" s="2" t="s">
        <v>196</v>
      </c>
      <c r="B248" s="2" t="s">
        <v>197</v>
      </c>
      <c r="C248" s="3">
        <v>44179</v>
      </c>
      <c r="D248" s="12">
        <v>0.104</v>
      </c>
      <c r="E248" s="5">
        <v>44180</v>
      </c>
      <c r="F248" s="4">
        <v>10.98</v>
      </c>
      <c r="G248" s="5">
        <v>44237</v>
      </c>
      <c r="H248" s="1">
        <v>72.87</v>
      </c>
      <c r="I248" s="12">
        <f t="shared" si="18"/>
        <v>5.6366120218579239</v>
      </c>
      <c r="J248" s="1">
        <f t="shared" si="19"/>
        <v>57</v>
      </c>
      <c r="K248" s="13">
        <f t="shared" si="20"/>
        <v>9.8887930208033756E-2</v>
      </c>
      <c r="L248" s="4">
        <f t="shared" si="21"/>
        <v>16.47</v>
      </c>
      <c r="M248" s="3">
        <v>44187</v>
      </c>
      <c r="N248" s="1">
        <f t="shared" si="22"/>
        <v>8</v>
      </c>
      <c r="O248" s="13">
        <f t="shared" si="23"/>
        <v>6.25E-2</v>
      </c>
    </row>
    <row r="249" spans="1:15" x14ac:dyDescent="0.25">
      <c r="A249" s="2" t="s">
        <v>219</v>
      </c>
      <c r="B249" s="2" t="s">
        <v>220</v>
      </c>
      <c r="C249" s="3">
        <v>44179</v>
      </c>
      <c r="D249" s="12">
        <v>7.3499999999999996E-2</v>
      </c>
      <c r="E249" s="5">
        <v>44180</v>
      </c>
      <c r="F249" s="4">
        <v>21.9</v>
      </c>
      <c r="G249" s="5">
        <v>44204</v>
      </c>
      <c r="H249" s="1">
        <v>45</v>
      </c>
      <c r="I249" s="12">
        <f t="shared" si="18"/>
        <v>1.0547945205479454</v>
      </c>
      <c r="J249" s="1">
        <f t="shared" si="19"/>
        <v>24</v>
      </c>
      <c r="K249" s="13">
        <f t="shared" si="20"/>
        <v>4.3949771689497728E-2</v>
      </c>
      <c r="L249" s="4">
        <f t="shared" si="21"/>
        <v>32.849999999999994</v>
      </c>
      <c r="M249" s="3">
        <v>44186</v>
      </c>
      <c r="N249" s="1">
        <f t="shared" si="22"/>
        <v>7</v>
      </c>
      <c r="O249" s="13">
        <f t="shared" si="23"/>
        <v>7.1428571428571425E-2</v>
      </c>
    </row>
    <row r="250" spans="1:15" x14ac:dyDescent="0.25">
      <c r="A250" s="2" t="s">
        <v>4</v>
      </c>
      <c r="B250" s="2" t="s">
        <v>5</v>
      </c>
      <c r="C250" s="3">
        <v>44180</v>
      </c>
      <c r="D250" s="12">
        <v>0.16789999999999999</v>
      </c>
      <c r="E250" s="5">
        <v>44180</v>
      </c>
      <c r="F250" s="4">
        <v>16.79</v>
      </c>
      <c r="G250" s="5">
        <v>44294</v>
      </c>
      <c r="H250" s="1">
        <v>30.38</v>
      </c>
      <c r="I250" s="12">
        <f t="shared" si="18"/>
        <v>0.80941036331149507</v>
      </c>
      <c r="J250" s="1">
        <f t="shared" si="19"/>
        <v>114</v>
      </c>
      <c r="K250" s="13">
        <f t="shared" si="20"/>
        <v>7.1000909062411853E-3</v>
      </c>
      <c r="L250" s="4">
        <f t="shared" si="21"/>
        <v>25.184999999999999</v>
      </c>
      <c r="M250" s="3">
        <v>44187</v>
      </c>
      <c r="N250" s="1">
        <f t="shared" si="22"/>
        <v>8</v>
      </c>
      <c r="O250" s="13">
        <f t="shared" si="23"/>
        <v>6.25E-2</v>
      </c>
    </row>
    <row r="251" spans="1:15" x14ac:dyDescent="0.25">
      <c r="A251" s="2" t="s">
        <v>541</v>
      </c>
      <c r="B251" s="2" t="s">
        <v>300</v>
      </c>
      <c r="C251" s="3">
        <v>44180</v>
      </c>
      <c r="D251" s="12">
        <v>0.2462</v>
      </c>
      <c r="E251" s="5">
        <v>44181</v>
      </c>
      <c r="F251" s="4">
        <v>8.18</v>
      </c>
      <c r="G251" s="5">
        <v>44292</v>
      </c>
      <c r="H251" s="1">
        <v>57.72</v>
      </c>
      <c r="I251" s="12">
        <f t="shared" si="18"/>
        <v>6.0562347188264063</v>
      </c>
      <c r="J251" s="1">
        <f t="shared" si="19"/>
        <v>111</v>
      </c>
      <c r="K251" s="13">
        <f t="shared" si="20"/>
        <v>5.4560673142580236E-2</v>
      </c>
      <c r="L251" s="4">
        <f t="shared" si="21"/>
        <v>12.27</v>
      </c>
      <c r="M251" s="3">
        <v>44187</v>
      </c>
      <c r="N251" s="1">
        <f t="shared" si="22"/>
        <v>7</v>
      </c>
      <c r="O251" s="13">
        <f t="shared" si="23"/>
        <v>7.1428571428571425E-2</v>
      </c>
    </row>
    <row r="252" spans="1:15" x14ac:dyDescent="0.25">
      <c r="A252" s="2" t="s">
        <v>299</v>
      </c>
      <c r="B252" s="2" t="s">
        <v>300</v>
      </c>
      <c r="C252" s="3">
        <v>44180</v>
      </c>
      <c r="D252" s="12">
        <v>0.2762</v>
      </c>
      <c r="E252" s="5">
        <v>44181</v>
      </c>
      <c r="F252" s="4">
        <v>8.18</v>
      </c>
      <c r="G252" s="5">
        <v>44292</v>
      </c>
      <c r="H252" s="1">
        <v>57.72</v>
      </c>
      <c r="I252" s="12">
        <f t="shared" si="18"/>
        <v>6.0562347188264063</v>
      </c>
      <c r="J252" s="1">
        <f t="shared" si="19"/>
        <v>111</v>
      </c>
      <c r="K252" s="13">
        <f t="shared" si="20"/>
        <v>5.4560673142580236E-2</v>
      </c>
      <c r="L252" s="4">
        <f t="shared" si="21"/>
        <v>12.27</v>
      </c>
      <c r="M252" s="3">
        <v>44187</v>
      </c>
      <c r="N252" s="1">
        <f t="shared" si="22"/>
        <v>7</v>
      </c>
      <c r="O252" s="13">
        <f t="shared" si="23"/>
        <v>7.1428571428571425E-2</v>
      </c>
    </row>
    <row r="253" spans="1:15" x14ac:dyDescent="0.25">
      <c r="A253" s="2" t="s">
        <v>529</v>
      </c>
      <c r="B253" s="2" t="s">
        <v>530</v>
      </c>
      <c r="C253" s="3">
        <v>44181</v>
      </c>
      <c r="D253" s="12">
        <v>9.4299999999999995E-2</v>
      </c>
      <c r="E253" s="5">
        <v>44182</v>
      </c>
      <c r="F253" s="4">
        <v>17495.8</v>
      </c>
      <c r="G253" s="5">
        <v>44300</v>
      </c>
      <c r="H253" s="1">
        <v>54229.7</v>
      </c>
      <c r="I253" s="12">
        <f t="shared" si="18"/>
        <v>2.0995839001360328</v>
      </c>
      <c r="J253" s="1">
        <f t="shared" si="19"/>
        <v>118</v>
      </c>
      <c r="K253" s="13">
        <f t="shared" si="20"/>
        <v>1.7793083899457905E-2</v>
      </c>
      <c r="L253" s="4">
        <f t="shared" si="21"/>
        <v>26243.699999999997</v>
      </c>
      <c r="M253" s="3">
        <v>44198</v>
      </c>
      <c r="N253" s="1">
        <f t="shared" si="22"/>
        <v>17</v>
      </c>
      <c r="O253" s="13">
        <f t="shared" si="23"/>
        <v>2.9411764705882353E-2</v>
      </c>
    </row>
    <row r="254" spans="1:15" x14ac:dyDescent="0.25">
      <c r="A254" s="2" t="s">
        <v>75</v>
      </c>
      <c r="B254" s="2" t="s">
        <v>76</v>
      </c>
      <c r="C254" s="3">
        <v>44181</v>
      </c>
      <c r="D254" s="12">
        <v>0.22209999999999999</v>
      </c>
      <c r="E254" s="5">
        <v>44182</v>
      </c>
      <c r="F254" s="4">
        <v>0.92500000000000004</v>
      </c>
      <c r="G254" s="5">
        <v>44249</v>
      </c>
      <c r="H254" s="1">
        <v>8.5</v>
      </c>
      <c r="I254" s="12">
        <f t="shared" si="18"/>
        <v>8.1891891891891895</v>
      </c>
      <c r="J254" s="1">
        <f t="shared" si="19"/>
        <v>67</v>
      </c>
      <c r="K254" s="13">
        <f t="shared" si="20"/>
        <v>0.12222670431625655</v>
      </c>
      <c r="L254" s="4">
        <f t="shared" si="21"/>
        <v>1.3875000000000002</v>
      </c>
      <c r="M254" s="3">
        <v>44183</v>
      </c>
      <c r="N254" s="1">
        <f t="shared" si="22"/>
        <v>2</v>
      </c>
      <c r="O254" s="13">
        <f t="shared" si="23"/>
        <v>0.25</v>
      </c>
    </row>
    <row r="255" spans="1:15" x14ac:dyDescent="0.25">
      <c r="A255" s="2" t="s">
        <v>532</v>
      </c>
      <c r="B255" s="2" t="s">
        <v>240</v>
      </c>
      <c r="C255" s="3">
        <v>44181</v>
      </c>
      <c r="D255" s="12">
        <v>0.20130000000000001</v>
      </c>
      <c r="E255" s="5">
        <v>44182</v>
      </c>
      <c r="F255" s="4">
        <v>9.1</v>
      </c>
      <c r="G255" s="5">
        <v>44249</v>
      </c>
      <c r="H255" s="1">
        <v>65</v>
      </c>
      <c r="I255" s="12">
        <f t="shared" si="18"/>
        <v>6.1428571428571432</v>
      </c>
      <c r="J255" s="1">
        <f t="shared" si="19"/>
        <v>67</v>
      </c>
      <c r="K255" s="13">
        <f t="shared" si="20"/>
        <v>9.1684434968017064E-2</v>
      </c>
      <c r="L255" s="4">
        <f t="shared" si="21"/>
        <v>13.649999999999999</v>
      </c>
      <c r="M255" s="3">
        <v>44186</v>
      </c>
      <c r="N255" s="1">
        <f t="shared" si="22"/>
        <v>5</v>
      </c>
      <c r="O255" s="13">
        <f t="shared" si="23"/>
        <v>0.1</v>
      </c>
    </row>
    <row r="256" spans="1:15" x14ac:dyDescent="0.25">
      <c r="A256" s="2" t="s">
        <v>21</v>
      </c>
      <c r="B256" s="2" t="s">
        <v>22</v>
      </c>
      <c r="C256" s="3">
        <v>44182</v>
      </c>
      <c r="D256" s="12">
        <v>0.35289999999999999</v>
      </c>
      <c r="E256" s="5">
        <v>44183</v>
      </c>
      <c r="F256" s="4">
        <v>0.64</v>
      </c>
      <c r="G256" s="5">
        <v>44207</v>
      </c>
      <c r="H256" s="1">
        <v>1.9</v>
      </c>
      <c r="I256" s="12">
        <f t="shared" si="18"/>
        <v>1.96875</v>
      </c>
      <c r="J256" s="1">
        <f t="shared" si="19"/>
        <v>24</v>
      </c>
      <c r="K256" s="13">
        <f t="shared" si="20"/>
        <v>8.203125E-2</v>
      </c>
      <c r="L256" s="4">
        <f t="shared" si="21"/>
        <v>0.96</v>
      </c>
      <c r="M256" s="3">
        <v>44200</v>
      </c>
      <c r="N256" s="1">
        <f t="shared" si="22"/>
        <v>18</v>
      </c>
      <c r="O256" s="13">
        <f t="shared" si="23"/>
        <v>2.7777777777777776E-2</v>
      </c>
    </row>
    <row r="257" spans="1:15" x14ac:dyDescent="0.25">
      <c r="A257" s="2" t="s">
        <v>40</v>
      </c>
      <c r="B257" s="2" t="s">
        <v>41</v>
      </c>
      <c r="C257" s="3">
        <v>44182</v>
      </c>
      <c r="D257" s="12">
        <v>0.19520000000000001</v>
      </c>
      <c r="E257" s="5">
        <v>44183</v>
      </c>
      <c r="F257" s="4">
        <v>15.5</v>
      </c>
      <c r="G257" s="5">
        <v>44245</v>
      </c>
      <c r="H257" s="1">
        <v>340.5</v>
      </c>
      <c r="I257" s="12">
        <f t="shared" si="18"/>
        <v>20.967741935483872</v>
      </c>
      <c r="J257" s="1">
        <f t="shared" si="19"/>
        <v>62</v>
      </c>
      <c r="K257" s="13">
        <f t="shared" si="20"/>
        <v>0.33818938605619148</v>
      </c>
      <c r="L257" s="4">
        <f t="shared" si="21"/>
        <v>23.25</v>
      </c>
      <c r="M257" s="3">
        <v>44194</v>
      </c>
      <c r="N257" s="1">
        <f t="shared" si="22"/>
        <v>12</v>
      </c>
      <c r="O257" s="13">
        <f t="shared" si="23"/>
        <v>4.1666666666666664E-2</v>
      </c>
    </row>
    <row r="258" spans="1:15" x14ac:dyDescent="0.25">
      <c r="A258" s="2" t="s">
        <v>402</v>
      </c>
      <c r="B258" s="2" t="s">
        <v>403</v>
      </c>
      <c r="C258" s="3">
        <v>44182</v>
      </c>
      <c r="D258" s="12">
        <v>4.6300000000000001E-2</v>
      </c>
      <c r="E258" s="5">
        <v>44183</v>
      </c>
      <c r="F258" s="4">
        <v>23.86</v>
      </c>
      <c r="G258" s="5">
        <v>44270</v>
      </c>
      <c r="H258" s="1">
        <v>44.72</v>
      </c>
      <c r="I258" s="12">
        <f t="shared" si="18"/>
        <v>0.87426655490360439</v>
      </c>
      <c r="J258" s="1">
        <f t="shared" si="19"/>
        <v>87</v>
      </c>
      <c r="K258" s="13">
        <f t="shared" si="20"/>
        <v>1.004904086096097E-2</v>
      </c>
      <c r="L258" s="4">
        <f t="shared" si="21"/>
        <v>35.79</v>
      </c>
      <c r="M258" s="3">
        <v>44238</v>
      </c>
      <c r="N258" s="1">
        <f t="shared" si="22"/>
        <v>56</v>
      </c>
      <c r="O258" s="13">
        <f t="shared" si="23"/>
        <v>8.9285714285714281E-3</v>
      </c>
    </row>
    <row r="259" spans="1:15" x14ac:dyDescent="0.25">
      <c r="A259" s="2" t="s">
        <v>471</v>
      </c>
      <c r="B259" s="2" t="s">
        <v>472</v>
      </c>
      <c r="C259" s="3">
        <v>44182</v>
      </c>
      <c r="D259" s="12">
        <v>0.1089</v>
      </c>
      <c r="E259" s="5">
        <v>44183</v>
      </c>
      <c r="F259" s="4">
        <v>49.9</v>
      </c>
      <c r="G259" s="5">
        <v>44235</v>
      </c>
      <c r="H259" s="1">
        <v>129.5</v>
      </c>
      <c r="I259" s="12">
        <f t="shared" si="18"/>
        <v>1.5951903807615233</v>
      </c>
      <c r="J259" s="1">
        <f t="shared" si="19"/>
        <v>52</v>
      </c>
      <c r="K259" s="13">
        <f t="shared" si="20"/>
        <v>3.0676738091567755E-2</v>
      </c>
      <c r="L259" s="4">
        <f t="shared" si="21"/>
        <v>74.849999999999994</v>
      </c>
      <c r="M259" s="3">
        <v>44217</v>
      </c>
      <c r="N259" s="1">
        <f t="shared" si="22"/>
        <v>35</v>
      </c>
      <c r="O259" s="13">
        <f t="shared" si="23"/>
        <v>1.4285714285714285E-2</v>
      </c>
    </row>
    <row r="260" spans="1:15" x14ac:dyDescent="0.25">
      <c r="A260" s="2" t="s">
        <v>81</v>
      </c>
      <c r="B260" s="2" t="s">
        <v>82</v>
      </c>
      <c r="C260" s="3">
        <v>44183</v>
      </c>
      <c r="D260" s="12">
        <v>9.8400000000000001E-2</v>
      </c>
      <c r="E260" s="5">
        <v>44186</v>
      </c>
      <c r="F260" s="4">
        <v>25.52</v>
      </c>
      <c r="G260" s="5">
        <v>44246</v>
      </c>
      <c r="H260" s="1">
        <v>49.92</v>
      </c>
      <c r="I260" s="12">
        <f t="shared" ref="I260:I277" si="24">H260/F260-1</f>
        <v>0.9561128526645768</v>
      </c>
      <c r="J260" s="1">
        <f t="shared" ref="J260:J277" si="25">G260-E260</f>
        <v>60</v>
      </c>
      <c r="K260" s="13">
        <f t="shared" ref="K260:K277" si="26">I260/J260</f>
        <v>1.5935214211076281E-2</v>
      </c>
      <c r="L260" s="4">
        <f t="shared" ref="L260:L277" si="27">F260*1.5</f>
        <v>38.28</v>
      </c>
      <c r="M260" s="3">
        <v>44231</v>
      </c>
      <c r="N260" s="1">
        <f t="shared" ref="N260:N277" si="28">M260-E260+1</f>
        <v>46</v>
      </c>
      <c r="O260" s="13">
        <f t="shared" ref="O260:O276" si="29">50/100/N260</f>
        <v>1.0869565217391304E-2</v>
      </c>
    </row>
    <row r="261" spans="1:15" x14ac:dyDescent="0.25">
      <c r="A261" s="2" t="s">
        <v>210</v>
      </c>
      <c r="B261" s="2" t="s">
        <v>210</v>
      </c>
      <c r="C261" s="3">
        <v>44183</v>
      </c>
      <c r="D261" s="12">
        <v>2.58E-2</v>
      </c>
      <c r="E261" s="5">
        <v>44186</v>
      </c>
      <c r="F261" s="4">
        <v>2.5299999999999998</v>
      </c>
      <c r="G261" s="5">
        <v>44239</v>
      </c>
      <c r="H261" s="1">
        <v>15.57</v>
      </c>
      <c r="I261" s="12">
        <f t="shared" si="24"/>
        <v>5.1541501976284589</v>
      </c>
      <c r="J261" s="1">
        <f t="shared" si="25"/>
        <v>53</v>
      </c>
      <c r="K261" s="13">
        <f t="shared" si="26"/>
        <v>9.724811693638602E-2</v>
      </c>
      <c r="L261" s="4">
        <f t="shared" si="27"/>
        <v>3.7949999999999999</v>
      </c>
      <c r="M261" s="3">
        <v>44189</v>
      </c>
      <c r="N261" s="1">
        <f t="shared" si="28"/>
        <v>4</v>
      </c>
      <c r="O261" s="13">
        <f t="shared" si="29"/>
        <v>0.125</v>
      </c>
    </row>
    <row r="262" spans="1:15" x14ac:dyDescent="0.25">
      <c r="A262" s="2" t="s">
        <v>42</v>
      </c>
      <c r="B262" s="2" t="s">
        <v>43</v>
      </c>
      <c r="C262" s="3">
        <v>44187</v>
      </c>
      <c r="D262" s="12">
        <v>3.6900000000000002E-2</v>
      </c>
      <c r="E262" s="5">
        <v>44188</v>
      </c>
      <c r="F262" s="4">
        <v>36.69</v>
      </c>
      <c r="G262" s="5">
        <v>44238</v>
      </c>
      <c r="H262" s="1">
        <v>94.17</v>
      </c>
      <c r="I262" s="12">
        <f t="shared" si="24"/>
        <v>1.5666394112837287</v>
      </c>
      <c r="J262" s="1">
        <f t="shared" si="25"/>
        <v>50</v>
      </c>
      <c r="K262" s="13">
        <f t="shared" si="26"/>
        <v>3.1332788225674577E-2</v>
      </c>
      <c r="L262" s="4">
        <f t="shared" si="27"/>
        <v>55.034999999999997</v>
      </c>
      <c r="M262" s="3">
        <v>44211</v>
      </c>
      <c r="N262" s="1">
        <f t="shared" si="28"/>
        <v>24</v>
      </c>
      <c r="O262" s="13">
        <f t="shared" si="29"/>
        <v>2.0833333333333332E-2</v>
      </c>
    </row>
    <row r="263" spans="1:15" x14ac:dyDescent="0.25">
      <c r="A263" s="2" t="s">
        <v>406</v>
      </c>
      <c r="B263" s="2" t="s">
        <v>407</v>
      </c>
      <c r="C263" s="3">
        <v>44187</v>
      </c>
      <c r="D263" s="12">
        <v>1.9099999999999999E-2</v>
      </c>
      <c r="E263" s="5">
        <v>44188</v>
      </c>
      <c r="F263" s="4">
        <v>9.44</v>
      </c>
      <c r="G263" s="5">
        <v>44557</v>
      </c>
      <c r="H263" s="1">
        <v>44</v>
      </c>
      <c r="I263" s="12">
        <f t="shared" si="24"/>
        <v>3.6610169491525424</v>
      </c>
      <c r="J263" s="1">
        <f t="shared" si="25"/>
        <v>369</v>
      </c>
      <c r="K263" s="13">
        <f t="shared" si="26"/>
        <v>9.9214551467548574E-3</v>
      </c>
      <c r="L263" s="4">
        <f t="shared" si="27"/>
        <v>14.16</v>
      </c>
      <c r="M263" s="3">
        <v>44222</v>
      </c>
      <c r="N263" s="1">
        <f t="shared" si="28"/>
        <v>35</v>
      </c>
      <c r="O263" s="13">
        <f t="shared" si="29"/>
        <v>1.4285714285714285E-2</v>
      </c>
    </row>
    <row r="264" spans="1:15" x14ac:dyDescent="0.25">
      <c r="A264" s="2" t="s">
        <v>448</v>
      </c>
      <c r="B264" s="2" t="s">
        <v>449</v>
      </c>
      <c r="C264" s="3">
        <v>44187</v>
      </c>
      <c r="D264" s="12">
        <v>0.33560000000000001</v>
      </c>
      <c r="E264" s="5">
        <v>44188</v>
      </c>
      <c r="F264" s="4">
        <v>7.54</v>
      </c>
      <c r="G264" s="5">
        <v>44246</v>
      </c>
      <c r="H264" s="1">
        <v>38.5</v>
      </c>
      <c r="I264" s="12">
        <f t="shared" si="24"/>
        <v>4.1061007957559683</v>
      </c>
      <c r="J264" s="1">
        <f t="shared" si="25"/>
        <v>58</v>
      </c>
      <c r="K264" s="13">
        <f t="shared" si="26"/>
        <v>7.079484130613739E-2</v>
      </c>
      <c r="L264" s="4">
        <f t="shared" si="27"/>
        <v>11.31</v>
      </c>
      <c r="M264" s="3">
        <v>44208</v>
      </c>
      <c r="N264" s="1">
        <f t="shared" si="28"/>
        <v>21</v>
      </c>
      <c r="O264" s="13">
        <f t="shared" si="29"/>
        <v>2.3809523809523808E-2</v>
      </c>
    </row>
    <row r="265" spans="1:15" x14ac:dyDescent="0.25">
      <c r="A265" s="2" t="s">
        <v>159</v>
      </c>
      <c r="B265" s="2" t="s">
        <v>160</v>
      </c>
      <c r="C265" s="3">
        <v>44189</v>
      </c>
      <c r="D265" s="12">
        <v>0.28949999999999998</v>
      </c>
      <c r="E265" s="5">
        <v>44193</v>
      </c>
      <c r="F265" s="4">
        <v>24.72</v>
      </c>
      <c r="G265" s="5">
        <v>44222</v>
      </c>
      <c r="H265" s="1">
        <v>74.959999999999994</v>
      </c>
      <c r="I265" s="12">
        <f t="shared" si="24"/>
        <v>2.0323624595469254</v>
      </c>
      <c r="J265" s="1">
        <f t="shared" si="25"/>
        <v>29</v>
      </c>
      <c r="K265" s="13">
        <f t="shared" si="26"/>
        <v>7.0081464122307771E-2</v>
      </c>
      <c r="L265" s="4">
        <f t="shared" si="27"/>
        <v>37.08</v>
      </c>
      <c r="M265" s="3">
        <v>44203</v>
      </c>
      <c r="N265" s="1">
        <f t="shared" si="28"/>
        <v>11</v>
      </c>
      <c r="O265" s="13">
        <f t="shared" si="29"/>
        <v>4.5454545454545456E-2</v>
      </c>
    </row>
    <row r="266" spans="1:15" x14ac:dyDescent="0.25">
      <c r="A266" s="2" t="s">
        <v>25</v>
      </c>
      <c r="B266" s="2" t="s">
        <v>26</v>
      </c>
      <c r="C266" s="3">
        <v>44193</v>
      </c>
      <c r="D266" s="12">
        <v>3.8600000000000002E-2</v>
      </c>
      <c r="E266" s="5">
        <v>44194</v>
      </c>
      <c r="F266" s="4">
        <v>33.99</v>
      </c>
      <c r="G266" s="5">
        <v>44270</v>
      </c>
      <c r="H266" s="1">
        <v>83.63</v>
      </c>
      <c r="I266" s="12">
        <f t="shared" si="24"/>
        <v>1.4604295380994405</v>
      </c>
      <c r="J266" s="1">
        <f t="shared" si="25"/>
        <v>76</v>
      </c>
      <c r="K266" s="13">
        <f t="shared" si="26"/>
        <v>1.9216178132887375E-2</v>
      </c>
      <c r="L266" s="4">
        <f t="shared" si="27"/>
        <v>50.984999999999999</v>
      </c>
      <c r="M266" s="3">
        <v>44221</v>
      </c>
      <c r="N266" s="1">
        <f t="shared" si="28"/>
        <v>28</v>
      </c>
      <c r="O266" s="13">
        <f t="shared" si="29"/>
        <v>1.7857142857142856E-2</v>
      </c>
    </row>
    <row r="267" spans="1:15" x14ac:dyDescent="0.25">
      <c r="A267" s="2" t="s">
        <v>73</v>
      </c>
      <c r="B267" s="2" t="s">
        <v>74</v>
      </c>
      <c r="C267" s="3">
        <v>44193</v>
      </c>
      <c r="D267" s="12">
        <v>0.81169999999999998</v>
      </c>
      <c r="E267" s="5">
        <v>44194</v>
      </c>
      <c r="F267" s="4">
        <v>9.84</v>
      </c>
      <c r="G267" s="5">
        <v>44200</v>
      </c>
      <c r="H267" s="1">
        <v>33</v>
      </c>
      <c r="I267" s="12">
        <f t="shared" si="24"/>
        <v>2.3536585365853657</v>
      </c>
      <c r="J267" s="1">
        <f t="shared" si="25"/>
        <v>6</v>
      </c>
      <c r="K267" s="13">
        <f t="shared" si="26"/>
        <v>0.39227642276422764</v>
      </c>
      <c r="L267" s="4">
        <f t="shared" si="27"/>
        <v>14.76</v>
      </c>
      <c r="M267" s="3">
        <v>44195</v>
      </c>
      <c r="N267" s="1">
        <f t="shared" si="28"/>
        <v>2</v>
      </c>
      <c r="O267" s="13">
        <f t="shared" si="29"/>
        <v>0.25</v>
      </c>
    </row>
    <row r="268" spans="1:15" x14ac:dyDescent="0.25">
      <c r="A268" s="2" t="s">
        <v>190</v>
      </c>
      <c r="B268" s="2" t="s">
        <v>191</v>
      </c>
      <c r="C268" s="3">
        <v>44193</v>
      </c>
      <c r="D268" s="12">
        <v>2.0799999999999999E-2</v>
      </c>
      <c r="E268" s="5">
        <v>44194</v>
      </c>
      <c r="F268" s="4">
        <v>14.6</v>
      </c>
      <c r="G268" s="5">
        <v>44469</v>
      </c>
      <c r="H268" s="1">
        <v>29</v>
      </c>
      <c r="I268" s="12">
        <f t="shared" si="24"/>
        <v>0.98630136986301364</v>
      </c>
      <c r="J268" s="1">
        <f t="shared" si="25"/>
        <v>275</v>
      </c>
      <c r="K268" s="13">
        <f t="shared" si="26"/>
        <v>3.5865504358655043E-3</v>
      </c>
      <c r="L268" s="4">
        <f t="shared" si="27"/>
        <v>21.9</v>
      </c>
      <c r="M268" s="3">
        <v>44293</v>
      </c>
      <c r="N268" s="1">
        <f t="shared" si="28"/>
        <v>100</v>
      </c>
      <c r="O268" s="13">
        <f t="shared" si="29"/>
        <v>5.0000000000000001E-3</v>
      </c>
    </row>
    <row r="269" spans="1:15" x14ac:dyDescent="0.25">
      <c r="A269" s="2" t="s">
        <v>520</v>
      </c>
      <c r="B269" s="2" t="s">
        <v>233</v>
      </c>
      <c r="C269" s="3">
        <v>44193</v>
      </c>
      <c r="D269" s="12">
        <v>5.4300000000000001E-2</v>
      </c>
      <c r="E269" s="5">
        <v>44194</v>
      </c>
      <c r="F269" s="4">
        <v>12.95</v>
      </c>
      <c r="G269" s="5">
        <v>44371</v>
      </c>
      <c r="H269" s="1">
        <v>28.24</v>
      </c>
      <c r="I269" s="12">
        <f t="shared" si="24"/>
        <v>1.1806949806949807</v>
      </c>
      <c r="J269" s="1">
        <f t="shared" si="25"/>
        <v>177</v>
      </c>
      <c r="K269" s="13">
        <f t="shared" si="26"/>
        <v>6.6705931112710773E-3</v>
      </c>
      <c r="L269" s="4">
        <f t="shared" si="27"/>
        <v>19.424999999999997</v>
      </c>
      <c r="M269" s="3">
        <v>44299</v>
      </c>
      <c r="N269" s="1">
        <f t="shared" si="28"/>
        <v>106</v>
      </c>
      <c r="O269" s="13">
        <f t="shared" si="29"/>
        <v>4.7169811320754715E-3</v>
      </c>
    </row>
    <row r="270" spans="1:15" x14ac:dyDescent="0.25">
      <c r="A270" s="2" t="s">
        <v>367</v>
      </c>
      <c r="B270" s="2" t="s">
        <v>368</v>
      </c>
      <c r="C270" s="3">
        <v>44193</v>
      </c>
      <c r="D270" s="12">
        <v>9.4500000000000001E-2</v>
      </c>
      <c r="E270" s="5">
        <v>44194</v>
      </c>
      <c r="F270" s="4">
        <v>2.23</v>
      </c>
      <c r="G270" s="5">
        <v>44389</v>
      </c>
      <c r="H270" s="1">
        <v>7.71</v>
      </c>
      <c r="I270" s="12">
        <f t="shared" si="24"/>
        <v>2.4573991031390134</v>
      </c>
      <c r="J270" s="1">
        <f t="shared" si="25"/>
        <v>195</v>
      </c>
      <c r="K270" s="13">
        <f t="shared" si="26"/>
        <v>1.2602046682764172E-2</v>
      </c>
      <c r="L270" s="4">
        <f t="shared" si="27"/>
        <v>3.3449999999999998</v>
      </c>
      <c r="M270" s="3">
        <v>44237</v>
      </c>
      <c r="N270" s="1">
        <f t="shared" si="28"/>
        <v>44</v>
      </c>
      <c r="O270" s="13">
        <f t="shared" si="29"/>
        <v>1.1363636363636364E-2</v>
      </c>
    </row>
    <row r="271" spans="1:15" x14ac:dyDescent="0.25">
      <c r="A271" s="2" t="s">
        <v>6</v>
      </c>
      <c r="B271" s="2" t="s">
        <v>7</v>
      </c>
      <c r="C271" s="3">
        <v>44194</v>
      </c>
      <c r="D271" s="12">
        <v>3.95E-2</v>
      </c>
      <c r="E271" s="5">
        <v>44195</v>
      </c>
      <c r="F271" s="4">
        <v>6.37</v>
      </c>
      <c r="G271" s="5">
        <v>44361</v>
      </c>
      <c r="H271" s="1">
        <v>11.39</v>
      </c>
      <c r="I271" s="12">
        <f t="shared" si="24"/>
        <v>0.78806907378335955</v>
      </c>
      <c r="J271" s="1">
        <f t="shared" si="25"/>
        <v>166</v>
      </c>
      <c r="K271" s="13">
        <f t="shared" si="26"/>
        <v>4.7474040589359006E-3</v>
      </c>
      <c r="L271" s="4">
        <f t="shared" si="27"/>
        <v>9.5549999999999997</v>
      </c>
      <c r="M271" s="3">
        <v>44323</v>
      </c>
      <c r="N271" s="1">
        <f t="shared" si="28"/>
        <v>129</v>
      </c>
      <c r="O271" s="13">
        <f t="shared" si="29"/>
        <v>3.875968992248062E-3</v>
      </c>
    </row>
    <row r="272" spans="1:15" x14ac:dyDescent="0.25">
      <c r="A272" s="2" t="s">
        <v>204</v>
      </c>
      <c r="B272" s="2" t="s">
        <v>205</v>
      </c>
      <c r="C272" s="3">
        <v>44194</v>
      </c>
      <c r="D272" s="12">
        <v>0.13930000000000001</v>
      </c>
      <c r="E272" s="5">
        <v>44195</v>
      </c>
      <c r="F272" s="4">
        <v>3.1</v>
      </c>
      <c r="G272" s="5">
        <v>44456</v>
      </c>
      <c r="H272" s="1">
        <v>7.05</v>
      </c>
      <c r="I272" s="12">
        <f t="shared" si="24"/>
        <v>1.2741935483870965</v>
      </c>
      <c r="J272" s="1">
        <f t="shared" si="25"/>
        <v>261</v>
      </c>
      <c r="K272" s="13">
        <f t="shared" si="26"/>
        <v>4.881967618341366E-3</v>
      </c>
      <c r="L272" s="4">
        <f t="shared" si="27"/>
        <v>4.6500000000000004</v>
      </c>
      <c r="M272" s="3">
        <v>44223</v>
      </c>
      <c r="N272" s="1">
        <f t="shared" si="28"/>
        <v>29</v>
      </c>
      <c r="O272" s="13">
        <f t="shared" si="29"/>
        <v>1.7241379310344827E-2</v>
      </c>
    </row>
    <row r="273" spans="1:15" x14ac:dyDescent="0.25">
      <c r="A273" s="2" t="s">
        <v>234</v>
      </c>
      <c r="B273" s="2" t="s">
        <v>235</v>
      </c>
      <c r="C273" s="3">
        <v>44195</v>
      </c>
      <c r="D273" s="12">
        <v>0.20710000000000001</v>
      </c>
      <c r="E273" s="5">
        <v>44196</v>
      </c>
      <c r="F273" s="4">
        <v>6.34</v>
      </c>
      <c r="G273" s="5">
        <v>44236</v>
      </c>
      <c r="H273" s="1">
        <v>14.1</v>
      </c>
      <c r="I273" s="12">
        <f t="shared" si="24"/>
        <v>1.22397476340694</v>
      </c>
      <c r="J273" s="1">
        <f t="shared" si="25"/>
        <v>40</v>
      </c>
      <c r="K273" s="13">
        <f t="shared" si="26"/>
        <v>3.0599369085173501E-2</v>
      </c>
      <c r="L273" s="4">
        <f t="shared" si="27"/>
        <v>9.51</v>
      </c>
      <c r="M273" s="3">
        <v>44232</v>
      </c>
      <c r="N273" s="1">
        <f t="shared" si="28"/>
        <v>37</v>
      </c>
      <c r="O273" s="13">
        <f t="shared" si="29"/>
        <v>1.3513513513513514E-2</v>
      </c>
    </row>
    <row r="274" spans="1:15" x14ac:dyDescent="0.25">
      <c r="A274" s="2" t="s">
        <v>202</v>
      </c>
      <c r="B274" s="2" t="s">
        <v>203</v>
      </c>
      <c r="C274" s="3">
        <v>44196</v>
      </c>
      <c r="D274" s="12">
        <v>7.6499999999999999E-2</v>
      </c>
      <c r="E274" s="5">
        <v>44200</v>
      </c>
      <c r="F274" s="4">
        <v>48.1</v>
      </c>
      <c r="G274" s="5">
        <v>44237</v>
      </c>
      <c r="H274" s="1">
        <v>202.21</v>
      </c>
      <c r="I274" s="12">
        <f t="shared" si="24"/>
        <v>3.2039501039501044</v>
      </c>
      <c r="J274" s="1">
        <f t="shared" si="25"/>
        <v>37</v>
      </c>
      <c r="K274" s="13">
        <f t="shared" si="26"/>
        <v>8.6593246052705519E-2</v>
      </c>
      <c r="L274" s="4">
        <f t="shared" si="27"/>
        <v>72.150000000000006</v>
      </c>
      <c r="M274" s="3">
        <v>44209</v>
      </c>
      <c r="N274" s="1">
        <f t="shared" si="28"/>
        <v>10</v>
      </c>
      <c r="O274" s="13">
        <f t="shared" si="29"/>
        <v>0.05</v>
      </c>
    </row>
    <row r="275" spans="1:15" x14ac:dyDescent="0.25">
      <c r="A275" s="2" t="s">
        <v>281</v>
      </c>
      <c r="B275" s="2" t="s">
        <v>282</v>
      </c>
      <c r="C275" s="3">
        <v>44196</v>
      </c>
      <c r="D275" s="12">
        <v>0.2616</v>
      </c>
      <c r="E275" s="5">
        <v>44200</v>
      </c>
      <c r="F275" s="4">
        <v>10.27</v>
      </c>
      <c r="G275" s="5">
        <v>44501</v>
      </c>
      <c r="H275" s="1">
        <v>49.21</v>
      </c>
      <c r="I275" s="12">
        <f t="shared" si="24"/>
        <v>3.7916260954235641</v>
      </c>
      <c r="J275" s="1">
        <f t="shared" si="25"/>
        <v>301</v>
      </c>
      <c r="K275" s="13">
        <f t="shared" si="26"/>
        <v>1.2596764436623137E-2</v>
      </c>
      <c r="L275" s="4">
        <f t="shared" si="27"/>
        <v>15.404999999999999</v>
      </c>
      <c r="M275" s="3">
        <v>44270</v>
      </c>
      <c r="N275" s="1">
        <f t="shared" si="28"/>
        <v>71</v>
      </c>
      <c r="O275" s="13">
        <f t="shared" si="29"/>
        <v>7.0422535211267607E-3</v>
      </c>
    </row>
    <row r="276" spans="1:15" x14ac:dyDescent="0.25">
      <c r="A276" s="2" t="s">
        <v>503</v>
      </c>
      <c r="B276" s="2" t="s">
        <v>502</v>
      </c>
      <c r="C276" s="3">
        <v>44201</v>
      </c>
      <c r="D276" s="12">
        <v>5.67E-2</v>
      </c>
      <c r="E276" s="5">
        <v>43836</v>
      </c>
      <c r="F276" s="4">
        <v>11.02</v>
      </c>
      <c r="G276" s="5">
        <v>44237</v>
      </c>
      <c r="H276" s="1">
        <v>67</v>
      </c>
      <c r="I276" s="12">
        <f t="shared" si="24"/>
        <v>5.0798548094373865</v>
      </c>
      <c r="J276" s="1">
        <f t="shared" si="25"/>
        <v>401</v>
      </c>
      <c r="K276" s="13">
        <f t="shared" si="26"/>
        <v>1.2667967105828895E-2</v>
      </c>
      <c r="L276" s="4">
        <f t="shared" si="27"/>
        <v>16.53</v>
      </c>
      <c r="M276" s="3">
        <v>44210</v>
      </c>
      <c r="N276" s="1">
        <f t="shared" si="28"/>
        <v>375</v>
      </c>
      <c r="O276" s="13">
        <f t="shared" si="29"/>
        <v>1.3333333333333333E-3</v>
      </c>
    </row>
    <row r="277" spans="1:15" x14ac:dyDescent="0.25">
      <c r="A277" s="2" t="s">
        <v>309</v>
      </c>
      <c r="B277" s="2" t="s">
        <v>310</v>
      </c>
      <c r="C277" s="3" t="s">
        <v>537</v>
      </c>
      <c r="D277" s="12">
        <v>0.1469</v>
      </c>
      <c r="E277" s="5">
        <v>44194</v>
      </c>
      <c r="F277" s="4">
        <v>36.700000000000003</v>
      </c>
      <c r="G277" s="5">
        <v>44236</v>
      </c>
      <c r="H277" s="1">
        <v>131.5</v>
      </c>
      <c r="I277" s="12">
        <f t="shared" si="24"/>
        <v>2.5831062670299723</v>
      </c>
      <c r="J277" s="1">
        <f t="shared" si="25"/>
        <v>42</v>
      </c>
      <c r="K277" s="13">
        <f t="shared" si="26"/>
        <v>6.150253016738029E-2</v>
      </c>
      <c r="L277" s="4">
        <f t="shared" si="27"/>
        <v>55.050000000000004</v>
      </c>
      <c r="M277" s="3">
        <v>44203</v>
      </c>
      <c r="N277" s="1">
        <f t="shared" si="28"/>
        <v>10</v>
      </c>
    </row>
  </sheetData>
  <mergeCells count="1">
    <mergeCell ref="L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2689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Utilisateur Windows</cp:lastModifiedBy>
  <cp:revision>321</cp:revision>
  <dcterms:created xsi:type="dcterms:W3CDTF">2023-07-12T20:10:28Z</dcterms:created>
  <dcterms:modified xsi:type="dcterms:W3CDTF">2026-03-11T12:05:08Z</dcterms:modified>
</cp:coreProperties>
</file>